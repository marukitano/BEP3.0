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P31_final_BO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<sst xmlns="http://schemas.openxmlformats.org/spreadsheetml/2006/main" count="284" uniqueCount="200">
  <si>
    <t xml:space="preserve">Dimensionen:</t>
  </si>
  <si>
    <t xml:space="preserve">Board:</t>
  </si>
  <si>
    <t xml:space="preserve">96mmx50mm. FR4 1.6mm, HASL verzinnt (lead free)</t>
  </si>
  <si>
    <t xml:space="preserve">Stückzahl</t>
  </si>
  <si>
    <t xml:space="preserve">500 und 1000</t>
  </si>
  <si>
    <t xml:space="preserve">BOM:</t>
  </si>
  <si>
    <t xml:space="preserve">SMD Bauteile auf Rückseite:</t>
  </si>
  <si>
    <t xml:space="preserve">Qty</t>
  </si>
  <si>
    <t xml:space="preserve">Value</t>
  </si>
  <si>
    <t xml:space="preserve">Package</t>
  </si>
  <si>
    <t xml:space="preserve">Device</t>
  </si>
  <si>
    <t xml:space="preserve">Parts</t>
  </si>
  <si>
    <t xml:space="preserve">Description</t>
  </si>
  <si>
    <t xml:space="preserve">Farnell</t>
  </si>
  <si>
    <t xml:space="preserve">Aliexpress</t>
  </si>
  <si>
    <t xml:space="preserve">Preis/Stück in US$</t>
  </si>
  <si>
    <t xml:space="preserve">bei Stück-zahl</t>
  </si>
  <si>
    <t xml:space="preserve">Bedarf  f.500 Prints</t>
  </si>
  <si>
    <t xml:space="preserve">Stock Marulabs</t>
  </si>
  <si>
    <t xml:space="preserve">auf Rolle bei Marulabs vorhanden</t>
  </si>
  <si>
    <t xml:space="preserve">Bestellt</t>
  </si>
  <si>
    <t xml:space="preserve">finaler Bestand (x500)</t>
  </si>
  <si>
    <t xml:space="preserve">techn. Anforderung für Alternative</t>
  </si>
  <si>
    <t xml:space="preserve">Bemerkung</t>
  </si>
  <si>
    <t xml:space="preserve">100nF</t>
  </si>
  <si>
    <t xml:space="preserve">C0805</t>
  </si>
  <si>
    <t xml:space="preserve">CERAMIC-100NF-50V-10%-X7R(0805)</t>
  </si>
  <si>
    <t xml:space="preserve">C4, C5, C7, C9, C10, C11</t>
  </si>
  <si>
    <t xml:space="preserve">?</t>
  </si>
  <si>
    <t xml:space="preserve">nein(Rolle=4000)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</si>
  <si>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20V</t>
    </r>
  </si>
  <si>
    <t xml:space="preserve">ev. 0603</t>
  </si>
  <si>
    <t xml:space="preserve">2.2nF</t>
  </si>
  <si>
    <t xml:space="preserve">C1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</si>
  <si>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50V</t>
    </r>
  </si>
  <si>
    <t xml:space="preserve">4.7u</t>
  </si>
  <si>
    <t xml:space="preserve">CERAMIC-4.7UF-25V-10%-X5R(0805)</t>
  </si>
  <si>
    <t xml:space="preserve">C8</t>
  </si>
  <si>
    <t xml:space="preserve">ja(Rolle=2000)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</si>
  <si>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16V</t>
    </r>
  </si>
  <si>
    <t xml:space="preserve">100u</t>
  </si>
  <si>
    <t xml:space="preserve">C1206</t>
  </si>
  <si>
    <t xml:space="preserve">CERAMIC-100UF-6.3V-20%-X5R(1206)</t>
  </si>
  <si>
    <t xml:space="preserve">C2, C3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</si>
  <si>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6V</t>
    </r>
  </si>
  <si>
    <t xml:space="preserve">ev. 0805</t>
  </si>
  <si>
    <t xml:space="preserve">1N4007</t>
  </si>
  <si>
    <t xml:space="preserve">DO-214AC</t>
  </si>
  <si>
    <t xml:space="preserve">DIODE-GEN-PURPOSE-1KV-1A(DO-214AC)</t>
  </si>
  <si>
    <t xml:space="preserve">D1, D3, D8, D10, D11, D15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</si>
  <si>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1A,≥100V</t>
    </r>
  </si>
  <si>
    <t xml:space="preserve">1N5817</t>
  </si>
  <si>
    <t xml:space="preserve">Schottky Diode</t>
  </si>
  <si>
    <t xml:space="preserve">D2, D12, D13, D14</t>
  </si>
  <si>
    <t xml:space="preserve">0.01</t>
  </si>
  <si>
    <t xml:space="preserve">ca. 1900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</si>
  <si>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1A,≥20V</t>
    </r>
  </si>
  <si>
    <t xml:space="preserve">Flussspannung muss &lt;0.25V sein bei  0.19mA Strom</t>
  </si>
  <si>
    <t xml:space="preserve">NE555D</t>
  </si>
  <si>
    <t xml:space="preserve">SO08</t>
  </si>
  <si>
    <t xml:space="preserve">IC5</t>
  </si>
  <si>
    <t xml:space="preserve">TIMER</t>
  </si>
  <si>
    <t xml:space="preserve">nein(Rolle=2500?)</t>
  </si>
  <si>
    <t xml:space="preserve">LM2904</t>
  </si>
  <si>
    <t xml:space="preserve">IC10</t>
  </si>
  <si>
    <t xml:space="preserve">OP AMP also LM158; LM258; LM2904</t>
  </si>
  <si>
    <t xml:space="preserve">0.03</t>
  </si>
  <si>
    <t xml:space="preserve">Alternativ LM358/258/158</t>
  </si>
  <si>
    <t xml:space="preserve">LM339</t>
  </si>
  <si>
    <t xml:space="preserve">SO14</t>
  </si>
  <si>
    <t xml:space="preserve">LM339D</t>
  </si>
  <si>
    <t xml:space="preserve">IC7</t>
  </si>
  <si>
    <t xml:space="preserve">Low Power Quad Comparators</t>
  </si>
  <si>
    <t xml:space="preserve">Alternativ LM2901,LM239/139</t>
  </si>
  <si>
    <t xml:space="preserve">SO16</t>
  </si>
  <si>
    <t xml:space="preserve">4028D</t>
  </si>
  <si>
    <t xml:space="preserve">IC3</t>
  </si>
  <si>
    <t xml:space="preserve">BCD to decimal DECODER</t>
  </si>
  <si>
    <t xml:space="preserve">2342417RL</t>
  </si>
  <si>
    <t xml:space="preserve">500 Freihand</t>
  </si>
  <si>
    <t xml:space="preserve">nein(Rolle=?)</t>
  </si>
  <si>
    <t xml:space="preserve">CD4028BM</t>
  </si>
  <si>
    <t xml:space="preserve">4538D</t>
  </si>
  <si>
    <t xml:space="preserve">IC8</t>
  </si>
  <si>
    <t xml:space="preserve">Dual  monostable MULTIVIBRATOR</t>
  </si>
  <si>
    <t xml:space="preserve">2499894RL</t>
  </si>
  <si>
    <t xml:space="preserve">0.14</t>
  </si>
  <si>
    <t xml:space="preserve">CD14538BM  alternativ</t>
  </si>
  <si>
    <t xml:space="preserve">ULN2004</t>
  </si>
  <si>
    <t xml:space="preserve">ULN2004AD</t>
  </si>
  <si>
    <t xml:space="preserve">IC6</t>
  </si>
  <si>
    <t xml:space="preserve">DRIVER ARRAY</t>
  </si>
  <si>
    <t xml:space="preserve">BSS-138</t>
  </si>
  <si>
    <t xml:space="preserve">SOT-23</t>
  </si>
  <si>
    <t xml:space="preserve">SMD-MOSFET-N-CH-50V-200MA-BSS138W-7-F(SOT-23)</t>
  </si>
  <si>
    <t xml:space="preserve">Q10, Q11</t>
  </si>
  <si>
    <t xml:space="preserve">BSS138W-7-F</t>
  </si>
  <si>
    <t xml:space="preserve">nein(Rolle=3000)</t>
  </si>
  <si>
    <r>
      <rPr>
        <sz val="10"/>
        <color rgb="FF000000"/>
        <rFont val="Arial"/>
        <family val="2"/>
        <charset val="1"/>
      </rPr>
      <t xml:space="preserve">RDS&lt;6</t>
    </r>
    <r>
      <rPr>
        <sz val="10"/>
        <color rgb="FF000000"/>
        <rFont val="Calibri"/>
        <family val="2"/>
        <charset val="1"/>
      </rPr>
      <t xml:space="preserve">Ω</t>
    </r>
  </si>
  <si>
    <t xml:space="preserve">alternativ anderer SOT89 N Mosfet (Kleinsignal)</t>
  </si>
  <si>
    <t xml:space="preserve">BA</t>
  </si>
  <si>
    <t xml:space="preserve">SOT89</t>
  </si>
  <si>
    <t xml:space="preserve">PNP-TRANSISTOR_SOT89</t>
  </si>
  <si>
    <t xml:space="preserve">Q1, Q2, Q7, Q8</t>
  </si>
  <si>
    <t xml:space="preserve">PNP TRANSISTOR 2SB1132 1A 32V</t>
  </si>
  <si>
    <t xml:space="preserve">nein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</si>
  <si>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1A,≥20V,HFE&gt;100 bei 500mA</t>
    </r>
  </si>
  <si>
    <t xml:space="preserve">Exot! Ersatz muss gefunden werden oder wir kaufen mehr bei Aliexpress</t>
  </si>
  <si>
    <t xml:space="preserve">MY</t>
  </si>
  <si>
    <t xml:space="preserve">NPN-TRANSISTOR_SOT89</t>
  </si>
  <si>
    <t xml:space="preserve">Q9</t>
  </si>
  <si>
    <t xml:space="preserve">NPN TRANSISTOR 2SC2873 2A 50V</t>
  </si>
  <si>
    <t xml:space="preserve">0.022</t>
  </si>
  <si>
    <r>
      <rPr>
        <sz val="10"/>
        <color rgb="FF000000"/>
        <rFont val="Calibri"/>
        <family val="2"/>
        <charset val="1"/>
      </rPr>
      <t xml:space="preserve">≥</t>
    </r>
    <r>
      <rPr>
        <sz val="10"/>
        <color rgb="FF000000"/>
        <rFont val="Arial"/>
        <family val="2"/>
        <charset val="1"/>
      </rPr>
      <t xml:space="preserve">500mA,≥20V</t>
    </r>
  </si>
  <si>
    <t xml:space="preserve">Exot! Ersatz muss gefunden werden oder wir kaufen mehr bei Aliexpress. SOT89 N Mosfet wäre auch möglich</t>
  </si>
  <si>
    <t xml:space="preserve">10V pos</t>
  </si>
  <si>
    <t xml:space="preserve">78L10</t>
  </si>
  <si>
    <t xml:space="preserve">IC2</t>
  </si>
  <si>
    <t xml:space="preserve">VOLTAGE REGULATOR</t>
  </si>
  <si>
    <t xml:space="preserve">0.04</t>
  </si>
  <si>
    <t xml:space="preserve">nein(Rolle=1000)</t>
  </si>
  <si>
    <t xml:space="preserve">vorhande 500 Teile könnten wir auf leere Rolle spannen</t>
  </si>
  <si>
    <t xml:space="preserve">6V pos</t>
  </si>
  <si>
    <t xml:space="preserve">78L06</t>
  </si>
  <si>
    <t xml:space="preserve">IC1</t>
  </si>
  <si>
    <t xml:space="preserve">0.02</t>
  </si>
  <si>
    <t xml:space="preserve">ja(Rolle=1000)</t>
  </si>
  <si>
    <t xml:space="preserve">R0805</t>
  </si>
  <si>
    <t xml:space="preserve">100k</t>
  </si>
  <si>
    <t xml:space="preserve">R10, R12, R22, R24, R29, R30, R31</t>
  </si>
  <si>
    <t xml:space="preserve">ja</t>
  </si>
  <si>
    <t xml:space="preserve">durch Zollner Standard 0603 ersetzen ausser zwei 1kOhm Widerständen (144mW Last ist zuviel für 0603)</t>
  </si>
  <si>
    <t xml:space="preserve">27k</t>
  </si>
  <si>
    <t xml:space="preserve">R8, R25, R44,R33,R34</t>
  </si>
  <si>
    <t xml:space="preserve">15k</t>
  </si>
  <si>
    <t xml:space="preserve">R6, R15</t>
  </si>
  <si>
    <t xml:space="preserve">10k</t>
  </si>
  <si>
    <t xml:space="preserve">R2, R5, R16, R19, R42</t>
  </si>
  <si>
    <t xml:space="preserve">4k7</t>
  </si>
  <si>
    <t xml:space="preserve">R1, R9, R32</t>
  </si>
  <si>
    <t xml:space="preserve">2k2</t>
  </si>
  <si>
    <t xml:space="preserve">R17, R23</t>
  </si>
  <si>
    <t xml:space="preserve">1k</t>
  </si>
  <si>
    <t xml:space="preserve">R13, R38, R43, R45, R46</t>
  </si>
  <si>
    <t xml:space="preserve">&gt;144mW (2 Stück)</t>
  </si>
  <si>
    <t xml:space="preserve">10R</t>
  </si>
  <si>
    <t xml:space="preserve">R3,R7</t>
  </si>
  <si>
    <t xml:space="preserve">R1206</t>
  </si>
  <si>
    <t xml:space="preserve">13R</t>
  </si>
  <si>
    <t xml:space="preserve">R18, R20, R21</t>
  </si>
  <si>
    <t xml:space="preserve">&gt;120mW</t>
  </si>
  <si>
    <t xml:space="preserve">ev 0805 jedoch besser 1206 (therm. Last ist 120mW und krit. Bauteil)</t>
  </si>
  <si>
    <t xml:space="preserve">Zwischentotal:</t>
  </si>
  <si>
    <t xml:space="preserve"> Gehäuse und Platine</t>
  </si>
  <si>
    <t xml:space="preserve">Gehäuse</t>
  </si>
  <si>
    <t xml:space="preserve">Reichelt SP+2000+SW</t>
  </si>
  <si>
    <t xml:space="preserve">Platine</t>
  </si>
  <si>
    <t xml:space="preserve">Seedstudio</t>
  </si>
  <si>
    <t xml:space="preserve">THT Bauteile auf vorderseite (wird voraussichtlich von Marulabs bestückt)</t>
  </si>
  <si>
    <t xml:space="preserve">LM317</t>
  </si>
  <si>
    <t xml:space="preserve">TO220</t>
  </si>
  <si>
    <t xml:space="preserve">Spannungsregler</t>
  </si>
  <si>
    <t xml:space="preserve">2W Leistungswiderstand bedrahtet</t>
  </si>
  <si>
    <t xml:space="preserve">2200 hängt im Zoll. Gwicht 4.2g/6=0.7</t>
  </si>
  <si>
    <t xml:space="preserve">3.96mm Pitch 12P</t>
  </si>
  <si>
    <t xml:space="preserve">BMW Pfostenstecker</t>
  </si>
  <si>
    <t xml:space="preserve"> L8.5*W3.5MM 3P 2T mini toggle</t>
  </si>
  <si>
    <t xml:space="preserve">ON/OFF Umschalter</t>
  </si>
  <si>
    <t xml:space="preserve">WAGO 2081-1132</t>
  </si>
  <si>
    <t xml:space="preserve">Wago Klemmleiste</t>
  </si>
  <si>
    <t xml:space="preserve">Wago Schweiz</t>
  </si>
  <si>
    <t xml:space="preserve">Optionale Teile (ev. für EMV Verträglichkeit notwendig)</t>
  </si>
  <si>
    <t xml:space="preserve">NUP4304SOT457_R</t>
  </si>
  <si>
    <t xml:space="preserve">SOT457R_PHILIPS</t>
  </si>
  <si>
    <t xml:space="preserve">U$3</t>
  </si>
  <si>
    <t xml:space="preserve">SM6T</t>
  </si>
  <si>
    <t xml:space="preserve">DO214AA</t>
  </si>
  <si>
    <t xml:space="preserve">D4</t>
  </si>
  <si>
    <t xml:space="preserve">Z DIODE</t>
  </si>
  <si>
    <t xml:space="preserve">D5</t>
  </si>
  <si>
    <t xml:space="preserve">Total:</t>
  </si>
  <si>
    <t xml:space="preserve">BOM Zusammenfassung (nur SMD Komponenten):</t>
  </si>
  <si>
    <t xml:space="preserve">Anzahl Bauteile</t>
  </si>
  <si>
    <t xml:space="preserve">Anzahl unterschiedliche Werte</t>
  </si>
  <si>
    <t xml:space="preserve">Anzahl Pads/Bauteil</t>
  </si>
  <si>
    <t xml:space="preserve">totale Anzahl Pads</t>
  </si>
  <si>
    <t xml:space="preserve">Resistors</t>
  </si>
  <si>
    <t xml:space="preserve">Kond</t>
  </si>
  <si>
    <t xml:space="preserve">0805/1206</t>
  </si>
  <si>
    <t xml:space="preserve">Diodes</t>
  </si>
  <si>
    <t xml:space="preserve">IC</t>
  </si>
  <si>
    <t xml:space="preserve">Transistors</t>
  </si>
  <si>
    <t xml:space="preserve">&amp; Regler</t>
  </si>
  <si>
    <t xml:space="preserve">Total count</t>
  </si>
  <si>
    <t xml:space="preserve">optional</t>
  </si>
  <si>
    <t xml:space="preserve">SOT457</t>
  </si>
  <si>
    <t xml:space="preserve">8mm Reel</t>
  </si>
  <si>
    <t xml:space="preserve">12mm Reel</t>
  </si>
  <si>
    <t xml:space="preserve">16mm Reel</t>
  </si>
  <si>
    <t xml:space="preserve">momentan bestellt TVM802B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</si>
</sst>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color rgb="FF00B05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AC090"/>
      </patternFill>
    </fill>
    <fill>
      <patternFill patternType="solid">
        <fgColor rgb="FFCC0000"/>
        <bgColor rgb="FFC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A6A6A6"/>
      </patternFill>
    </fill>
    <fill>
      <patternFill patternType="solid">
        <fgColor rgb="FFC00000"/>
        <bgColor rgb="FFCC0000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AC090"/>
        <bgColor rgb="FFFFCCCC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A6A6A6"/>
        <bgColor rgb="FF9999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thin"/>
      <top/>
      <bottom style="double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2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10" borderId="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4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8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1" builtinId="53" customBuiltin="true"/>
    <cellStyle name="Heading 1" xfId="22" builtinId="53" customBuiltin="true"/>
    <cellStyle name="Heading 2" xfId="23" builtinId="53" customBuiltin="true"/>
    <cellStyle name="Text" xfId="24" builtinId="53" customBuiltin="true"/>
    <cellStyle name="Note" xfId="25" builtinId="53" customBuiltin="true"/>
    <cellStyle name="Footnote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600"/>
      <rgbColor rgb="FF000080"/>
      <rgbColor rgb="FF996600"/>
      <rgbColor rgb="FF800080"/>
      <rgbColor rgb="FF008080"/>
      <rgbColor rgb="FFFFCCCC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66240</xdr:colOff>
      <xdr:row>36</xdr:row>
      <xdr:rowOff>91080</xdr:rowOff>
    </xdr:from>
    <xdr:to>
      <xdr:col>31</xdr:col>
      <xdr:colOff>681120</xdr:colOff>
      <xdr:row>88</xdr:row>
      <xdr:rowOff>123840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13420080" y="6415560"/>
          <a:ext cx="11446200" cy="8595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h.farnell.com/webapp/wcs/stores/servlet/ProductDisplay?catalogId=15001&amp;langId=41&amp;urlRequestType=Base&amp;partNumber=2342417RL&amp;storeId=10178" TargetMode="External"/><Relationship Id="rId2" Type="http://schemas.openxmlformats.org/officeDocument/2006/relationships/hyperlink" Target="http://ch.farnell.com/texas-instruments/cd14538bm96/multivibrator-mono-2fach-300ns/dp/2499894RL" TargetMode="External"/><Relationship Id="rId3" Type="http://schemas.openxmlformats.org/officeDocument/2006/relationships/hyperlink" Target="http://www.reichelt.de/SP-2000-SW/3/index.html?&amp;ACTION=3&amp;LA=446&amp;ARTICLE=33824&amp;artnr=SP+2000+SW&amp;SEARCH=SP+2000+SW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8"/>
  <sheetViews>
    <sheetView showFormulas="false" showGridLines="true" showRowColHeaders="true" showZeros="true" rightToLeft="false" tabSelected="true" showOutlineSymbols="true" defaultGridColor="true" view="normal" topLeftCell="A13" colorId="64" zoomScale="115" zoomScaleNormal="115" zoomScalePageLayoutView="100" workbookViewId="0">
      <selection pane="topLeft" activeCell="F31" activeCellId="0" sqref="F31"/>
    </sheetView>
  </sheetViews>
  <sheetFormatPr defaultRowHeight="12.7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1" width="9.14"/>
    <col collapsed="false" customWidth="true" hidden="false" outlineLevel="0" max="3" min="3" style="0" width="10"/>
    <col collapsed="false" customWidth="true" hidden="false" outlineLevel="0" max="4" min="4" style="0" width="12.14"/>
    <col collapsed="false" customWidth="true" hidden="false" outlineLevel="0" max="5" min="5" style="0" width="14.43"/>
    <col collapsed="false" customWidth="true" hidden="false" outlineLevel="0" max="6" min="6" style="0" width="12.29"/>
    <col collapsed="false" customWidth="true" hidden="false" outlineLevel="0" max="7" min="7" style="0" width="10.14"/>
    <col collapsed="false" customWidth="true" hidden="false" outlineLevel="0" max="8" min="8" style="0" width="9.71"/>
    <col collapsed="false" customWidth="true" hidden="false" outlineLevel="0" max="9" min="9" style="0" width="9.14"/>
    <col collapsed="false" customWidth="true" hidden="false" outlineLevel="0" max="10" min="10" style="0" width="13.14"/>
    <col collapsed="false" customWidth="true" hidden="false" outlineLevel="0" max="11" min="11" style="0" width="10.99"/>
    <col collapsed="false" customWidth="true" hidden="false" outlineLevel="0" max="12" min="12" style="0" width="7.15"/>
    <col collapsed="false" customWidth="true" hidden="false" outlineLevel="0" max="13" min="13" style="0" width="7.57"/>
    <col collapsed="false" customWidth="true" hidden="false" outlineLevel="0" max="14" min="14" style="0" width="10.71"/>
    <col collapsed="false" customWidth="true" hidden="false" outlineLevel="0" max="15" min="15" style="0" width="17.14"/>
    <col collapsed="false" customWidth="true" hidden="false" outlineLevel="0" max="17" min="16" style="0" width="9"/>
    <col collapsed="false" customWidth="true" hidden="false" outlineLevel="0" max="18" min="18" style="0" width="13.29"/>
    <col collapsed="false" customWidth="true" hidden="false" outlineLevel="0" max="19" min="19" style="0" width="25.42"/>
    <col collapsed="false" customWidth="true" hidden="false" outlineLevel="0" max="1025" min="20" style="0" width="10.6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3" t="s">
        <v>1</v>
      </c>
      <c r="B2" s="4" t="s">
        <v>2</v>
      </c>
      <c r="C2" s="5"/>
    </row>
    <row r="3" customFormat="false" ht="12.75" hidden="false" customHeight="false" outlineLevel="0" collapsed="false">
      <c r="A3" s="6" t="s">
        <v>3</v>
      </c>
      <c r="B3" s="7" t="s">
        <v>4</v>
      </c>
      <c r="C3" s="8"/>
    </row>
    <row r="5" customFormat="false" ht="12.75" hidden="false" customHeight="false" outlineLevel="0" collapsed="false">
      <c r="A5" s="9" t="s">
        <v>5</v>
      </c>
    </row>
    <row r="6" customFormat="false" ht="12.75" hidden="false" customHeight="false" outlineLevel="0" collapsed="false">
      <c r="A6" s="10" t="s">
        <v>6</v>
      </c>
    </row>
    <row r="7" customFormat="false" ht="51" hidden="false" customHeight="false" outlineLevel="0" collapsed="false">
      <c r="A7" s="11" t="s">
        <v>7</v>
      </c>
      <c r="B7" s="12" t="s">
        <v>8</v>
      </c>
      <c r="C7" s="12" t="s">
        <v>9</v>
      </c>
      <c r="D7" s="12" t="s">
        <v>10</v>
      </c>
      <c r="E7" s="12" t="s">
        <v>11</v>
      </c>
      <c r="F7" s="12" t="s">
        <v>12</v>
      </c>
      <c r="G7" s="12"/>
      <c r="H7" s="13"/>
      <c r="I7" s="14" t="s">
        <v>13</v>
      </c>
      <c r="J7" s="15" t="s">
        <v>14</v>
      </c>
      <c r="K7" s="15" t="s">
        <v>15</v>
      </c>
      <c r="L7" s="16" t="s">
        <v>16</v>
      </c>
      <c r="M7" s="17" t="s">
        <v>17</v>
      </c>
      <c r="N7" s="17" t="s">
        <v>18</v>
      </c>
      <c r="O7" s="16" t="s">
        <v>19</v>
      </c>
      <c r="P7" s="17" t="s">
        <v>20</v>
      </c>
      <c r="Q7" s="17" t="s">
        <v>21</v>
      </c>
      <c r="R7" s="15" t="s">
        <v>22</v>
      </c>
      <c r="S7" s="16" t="s">
        <v>23</v>
      </c>
    </row>
    <row r="8" customFormat="false" ht="12.75" hidden="false" customHeight="false" outlineLevel="0" collapsed="false">
      <c r="A8" s="18" t="n">
        <v>6</v>
      </c>
      <c r="B8" s="19" t="s">
        <v>24</v>
      </c>
      <c r="C8" s="20" t="s">
        <v>25</v>
      </c>
      <c r="D8" s="20" t="s">
        <v>26</v>
      </c>
      <c r="E8" s="20" t="s">
        <v>27</v>
      </c>
      <c r="F8" s="20"/>
      <c r="G8" s="20"/>
      <c r="H8" s="21"/>
      <c r="I8" s="22" t="s">
        <v>28</v>
      </c>
      <c r="J8" s="23" t="s">
        <v>28</v>
      </c>
      <c r="K8" s="24" t="n">
        <v>0.01</v>
      </c>
      <c r="L8" s="25"/>
      <c r="M8" s="26" t="n">
        <f aca="false">500*A8</f>
        <v>3000</v>
      </c>
      <c r="N8" s="27" t="n">
        <v>0</v>
      </c>
      <c r="O8" s="4" t="s">
        <v>29</v>
      </c>
      <c r="P8" s="25"/>
      <c r="Q8" s="25" t="n">
        <v>4</v>
      </c>
      <c r="R8" s="28" t="s">
        <v>30</v>
      </c>
      <c r="S8" s="29" t="s">
        <v>31</v>
      </c>
    </row>
    <row r="9" customFormat="false" ht="12.75" hidden="false" customHeight="false" outlineLevel="0" collapsed="false">
      <c r="A9" s="18" t="n">
        <v>1</v>
      </c>
      <c r="B9" s="19" t="s">
        <v>32</v>
      </c>
      <c r="C9" s="20" t="s">
        <v>25</v>
      </c>
      <c r="D9" s="20" t="s">
        <v>26</v>
      </c>
      <c r="E9" s="20" t="s">
        <v>33</v>
      </c>
      <c r="F9" s="20"/>
      <c r="G9" s="20"/>
      <c r="H9" s="21"/>
      <c r="I9" s="22"/>
      <c r="J9" s="30" t="n">
        <v>32375506423</v>
      </c>
      <c r="K9" s="31" t="n">
        <f aca="false">0.9/200</f>
        <v>0.0045</v>
      </c>
      <c r="L9" s="32" t="n">
        <v>200</v>
      </c>
      <c r="M9" s="33" t="n">
        <f aca="false">500*A9</f>
        <v>500</v>
      </c>
      <c r="N9" s="34" t="n">
        <v>0</v>
      </c>
      <c r="O9" s="32" t="s">
        <v>29</v>
      </c>
      <c r="P9" s="32"/>
      <c r="Q9" s="32" t="n">
        <v>8</v>
      </c>
      <c r="R9" s="35" t="s">
        <v>34</v>
      </c>
      <c r="S9" s="22" t="s">
        <v>31</v>
      </c>
    </row>
    <row r="10" customFormat="false" ht="12.75" hidden="false" customHeight="false" outlineLevel="0" collapsed="false">
      <c r="A10" s="18" t="n">
        <v>1</v>
      </c>
      <c r="B10" s="19" t="s">
        <v>35</v>
      </c>
      <c r="C10" s="20" t="s">
        <v>25</v>
      </c>
      <c r="D10" s="20" t="s">
        <v>36</v>
      </c>
      <c r="E10" s="20" t="s">
        <v>37</v>
      </c>
      <c r="F10" s="20"/>
      <c r="G10" s="20"/>
      <c r="H10" s="21"/>
      <c r="I10" s="22"/>
      <c r="J10" s="30" t="n">
        <v>32376068362</v>
      </c>
      <c r="K10" s="31" t="n">
        <f aca="false">1.18/200</f>
        <v>0.0059</v>
      </c>
      <c r="L10" s="32" t="n">
        <v>200</v>
      </c>
      <c r="M10" s="33" t="n">
        <f aca="false">500*A10</f>
        <v>500</v>
      </c>
      <c r="N10" s="34" t="n">
        <v>0</v>
      </c>
      <c r="O10" s="32" t="s">
        <v>38</v>
      </c>
      <c r="P10" s="32"/>
      <c r="Q10" s="32" t="n">
        <v>4</v>
      </c>
      <c r="R10" s="35" t="s">
        <v>39</v>
      </c>
      <c r="S10" s="22" t="s">
        <v>31</v>
      </c>
    </row>
    <row r="11" customFormat="false" ht="12.75" hidden="false" customHeight="false" outlineLevel="0" collapsed="false">
      <c r="A11" s="18" t="n">
        <v>2</v>
      </c>
      <c r="B11" s="19" t="s">
        <v>40</v>
      </c>
      <c r="C11" s="20" t="s">
        <v>41</v>
      </c>
      <c r="D11" s="20" t="s">
        <v>42</v>
      </c>
      <c r="E11" s="20" t="s">
        <v>43</v>
      </c>
      <c r="F11" s="20"/>
      <c r="G11" s="20"/>
      <c r="H11" s="21"/>
      <c r="I11" s="22"/>
      <c r="J11" s="36" t="n">
        <v>32376068793</v>
      </c>
      <c r="K11" s="37" t="n">
        <f aca="false">4.1/100</f>
        <v>0.041</v>
      </c>
      <c r="L11" s="38" t="n">
        <v>100</v>
      </c>
      <c r="M11" s="39" t="n">
        <f aca="false">500*A11</f>
        <v>1000</v>
      </c>
      <c r="N11" s="40" t="n">
        <v>0</v>
      </c>
      <c r="O11" s="38" t="s">
        <v>38</v>
      </c>
      <c r="P11" s="32"/>
      <c r="Q11" s="41" t="n">
        <v>2</v>
      </c>
      <c r="R11" s="35" t="s">
        <v>44</v>
      </c>
      <c r="S11" s="22" t="s">
        <v>45</v>
      </c>
    </row>
    <row r="12" customFormat="false" ht="12.75" hidden="false" customHeight="false" outlineLevel="0" collapsed="false">
      <c r="A12" s="23" t="n">
        <v>6</v>
      </c>
      <c r="B12" s="4" t="s">
        <v>46</v>
      </c>
      <c r="C12" s="42" t="s">
        <v>47</v>
      </c>
      <c r="D12" s="42" t="s">
        <v>48</v>
      </c>
      <c r="E12" s="42" t="s">
        <v>49</v>
      </c>
      <c r="F12" s="42"/>
      <c r="G12" s="42"/>
      <c r="H12" s="5"/>
      <c r="I12" s="28"/>
      <c r="J12" s="43" t="n">
        <v>32687291008</v>
      </c>
      <c r="K12" s="24" t="n">
        <f aca="false">25.6/3000</f>
        <v>0.00853333333333333</v>
      </c>
      <c r="L12" s="25" t="n">
        <v>3000</v>
      </c>
      <c r="M12" s="26" t="n">
        <f aca="false">500*A12</f>
        <v>3000</v>
      </c>
      <c r="N12" s="44" t="n">
        <v>4000</v>
      </c>
      <c r="O12" s="4" t="s">
        <v>38</v>
      </c>
      <c r="P12" s="4"/>
      <c r="Q12" s="4" t="n">
        <v>4</v>
      </c>
      <c r="R12" s="28" t="s">
        <v>50</v>
      </c>
      <c r="S12" s="5"/>
    </row>
    <row r="13" customFormat="false" ht="12.75" hidden="false" customHeight="false" outlineLevel="0" collapsed="false">
      <c r="A13" s="45" t="n">
        <v>4</v>
      </c>
      <c r="B13" s="7" t="s">
        <v>51</v>
      </c>
      <c r="C13" s="46" t="s">
        <v>47</v>
      </c>
      <c r="D13" s="7" t="s">
        <v>52</v>
      </c>
      <c r="E13" s="46" t="s">
        <v>53</v>
      </c>
      <c r="F13" s="46"/>
      <c r="G13" s="46"/>
      <c r="H13" s="8"/>
      <c r="I13" s="47"/>
      <c r="J13" s="36" t="n">
        <v>2024887597</v>
      </c>
      <c r="K13" s="31" t="s">
        <v>54</v>
      </c>
      <c r="L13" s="32" t="n">
        <v>1000</v>
      </c>
      <c r="M13" s="33" t="n">
        <f aca="false">500*A13</f>
        <v>2000</v>
      </c>
      <c r="N13" s="48" t="s">
        <v>55</v>
      </c>
      <c r="O13" s="19" t="s">
        <v>38</v>
      </c>
      <c r="P13" s="19"/>
      <c r="Q13" s="19" t="n">
        <v>3</v>
      </c>
      <c r="R13" s="49" t="s">
        <v>56</v>
      </c>
      <c r="S13" s="50" t="s">
        <v>57</v>
      </c>
    </row>
    <row r="14" customFormat="false" ht="12.75" hidden="false" customHeight="false" outlineLevel="0" collapsed="false">
      <c r="A14" s="51" t="n">
        <v>1</v>
      </c>
      <c r="B14" s="52" t="s">
        <v>58</v>
      </c>
      <c r="C14" s="20" t="s">
        <v>59</v>
      </c>
      <c r="D14" s="20" t="s">
        <v>58</v>
      </c>
      <c r="E14" s="20" t="s">
        <v>60</v>
      </c>
      <c r="F14" s="20" t="s">
        <v>61</v>
      </c>
      <c r="G14" s="20"/>
      <c r="H14" s="21"/>
      <c r="I14" s="28"/>
      <c r="J14" s="43" t="n">
        <v>32686681723</v>
      </c>
      <c r="K14" s="24" t="n">
        <f aca="false">13.2/500</f>
        <v>0.0264</v>
      </c>
      <c r="L14" s="25" t="n">
        <v>500</v>
      </c>
      <c r="M14" s="26" t="n">
        <f aca="false">500*A14</f>
        <v>500</v>
      </c>
      <c r="N14" s="27" t="n">
        <v>0</v>
      </c>
      <c r="O14" s="25" t="s">
        <v>62</v>
      </c>
      <c r="P14" s="32" t="n">
        <v>2600</v>
      </c>
      <c r="Q14" s="32" t="n">
        <v>5.2</v>
      </c>
      <c r="R14" s="21"/>
      <c r="S14" s="22"/>
    </row>
    <row r="15" customFormat="false" ht="12.75" hidden="false" customHeight="false" outlineLevel="0" collapsed="false">
      <c r="A15" s="53" t="n">
        <v>1</v>
      </c>
      <c r="B15" s="54" t="s">
        <v>63</v>
      </c>
      <c r="C15" s="20" t="s">
        <v>59</v>
      </c>
      <c r="D15" s="20" t="s">
        <v>63</v>
      </c>
      <c r="E15" s="20" t="s">
        <v>64</v>
      </c>
      <c r="F15" s="20" t="s">
        <v>65</v>
      </c>
      <c r="G15" s="20"/>
      <c r="H15" s="21"/>
      <c r="I15" s="22"/>
      <c r="J15" s="30" t="n">
        <v>32518015605</v>
      </c>
      <c r="K15" s="31" t="s">
        <v>66</v>
      </c>
      <c r="L15" s="32" t="n">
        <v>500</v>
      </c>
      <c r="M15" s="33" t="n">
        <f aca="false">500*A15</f>
        <v>500</v>
      </c>
      <c r="N15" s="34" t="n">
        <v>0</v>
      </c>
      <c r="O15" s="32" t="s">
        <v>62</v>
      </c>
      <c r="P15" s="32" t="n">
        <v>2500</v>
      </c>
      <c r="Q15" s="32" t="n">
        <v>5</v>
      </c>
      <c r="R15" s="21"/>
      <c r="S15" s="22" t="s">
        <v>67</v>
      </c>
    </row>
    <row r="16" customFormat="false" ht="12.75" hidden="false" customHeight="false" outlineLevel="0" collapsed="false">
      <c r="A16" s="55" t="n">
        <v>1</v>
      </c>
      <c r="B16" s="54" t="s">
        <v>68</v>
      </c>
      <c r="C16" s="20" t="s">
        <v>69</v>
      </c>
      <c r="D16" s="20" t="s">
        <v>70</v>
      </c>
      <c r="E16" s="20" t="s">
        <v>71</v>
      </c>
      <c r="F16" s="20" t="s">
        <v>72</v>
      </c>
      <c r="G16" s="20"/>
      <c r="H16" s="21"/>
      <c r="I16" s="22"/>
      <c r="J16" s="30" t="n">
        <v>1245879199</v>
      </c>
      <c r="K16" s="31" t="n">
        <v>0.047</v>
      </c>
      <c r="L16" s="32" t="n">
        <v>100</v>
      </c>
      <c r="M16" s="33" t="n">
        <f aca="false">500*A16</f>
        <v>500</v>
      </c>
      <c r="N16" s="34" t="n">
        <v>0</v>
      </c>
      <c r="O16" s="32" t="s">
        <v>62</v>
      </c>
      <c r="P16" s="32" t="n">
        <v>2500</v>
      </c>
      <c r="Q16" s="32" t="n">
        <v>5</v>
      </c>
      <c r="R16" s="21"/>
      <c r="S16" s="22" t="s">
        <v>73</v>
      </c>
    </row>
    <row r="17" customFormat="false" ht="12.75" hidden="false" customHeight="false" outlineLevel="0" collapsed="false">
      <c r="A17" s="18" t="n">
        <v>1</v>
      </c>
      <c r="B17" s="19" t="n">
        <v>4028</v>
      </c>
      <c r="C17" s="20" t="s">
        <v>74</v>
      </c>
      <c r="D17" s="20" t="s">
        <v>75</v>
      </c>
      <c r="E17" s="20" t="s">
        <v>76</v>
      </c>
      <c r="F17" s="20" t="s">
        <v>77</v>
      </c>
      <c r="G17" s="20"/>
      <c r="H17" s="21"/>
      <c r="I17" s="56" t="s">
        <v>78</v>
      </c>
      <c r="J17" s="18"/>
      <c r="K17" s="31" t="n">
        <v>0.134</v>
      </c>
      <c r="L17" s="32" t="n">
        <v>1000</v>
      </c>
      <c r="M17" s="33" t="n">
        <f aca="false">500*A17</f>
        <v>500</v>
      </c>
      <c r="N17" s="34" t="s">
        <v>79</v>
      </c>
      <c r="O17" s="32" t="s">
        <v>80</v>
      </c>
      <c r="P17" s="32"/>
      <c r="Q17" s="32"/>
      <c r="R17" s="21"/>
      <c r="S17" s="22" t="s">
        <v>81</v>
      </c>
    </row>
    <row r="18" customFormat="false" ht="12.75" hidden="false" customHeight="false" outlineLevel="0" collapsed="false">
      <c r="A18" s="18" t="n">
        <v>1</v>
      </c>
      <c r="B18" s="19" t="n">
        <v>4538</v>
      </c>
      <c r="C18" s="20" t="s">
        <v>74</v>
      </c>
      <c r="D18" s="20" t="s">
        <v>82</v>
      </c>
      <c r="E18" s="20" t="s">
        <v>83</v>
      </c>
      <c r="F18" s="20" t="s">
        <v>84</v>
      </c>
      <c r="G18" s="20"/>
      <c r="H18" s="21"/>
      <c r="I18" s="56" t="s">
        <v>85</v>
      </c>
      <c r="J18" s="30" t="n">
        <v>32694256723</v>
      </c>
      <c r="K18" s="31" t="s">
        <v>86</v>
      </c>
      <c r="L18" s="32" t="n">
        <v>100</v>
      </c>
      <c r="M18" s="33" t="n">
        <f aca="false">500*A18</f>
        <v>500</v>
      </c>
      <c r="N18" s="34" t="n">
        <v>0</v>
      </c>
      <c r="O18" s="32" t="s">
        <v>62</v>
      </c>
      <c r="P18" s="32"/>
      <c r="Q18" s="32"/>
      <c r="R18" s="21"/>
      <c r="S18" s="0" t="s">
        <v>87</v>
      </c>
    </row>
    <row r="19" customFormat="false" ht="12.75" hidden="false" customHeight="false" outlineLevel="0" collapsed="false">
      <c r="A19" s="57" t="n">
        <v>1</v>
      </c>
      <c r="B19" s="19" t="s">
        <v>88</v>
      </c>
      <c r="C19" s="20" t="s">
        <v>74</v>
      </c>
      <c r="D19" s="20" t="s">
        <v>89</v>
      </c>
      <c r="E19" s="20" t="s">
        <v>90</v>
      </c>
      <c r="F19" s="20" t="s">
        <v>91</v>
      </c>
      <c r="G19" s="20"/>
      <c r="H19" s="21"/>
      <c r="I19" s="47"/>
      <c r="J19" s="36" t="n">
        <v>32667261685</v>
      </c>
      <c r="K19" s="37" t="n">
        <v>0.1</v>
      </c>
      <c r="L19" s="38" t="n">
        <v>500</v>
      </c>
      <c r="M19" s="39" t="n">
        <f aca="false">500*A19</f>
        <v>500</v>
      </c>
      <c r="N19" s="40" t="n">
        <v>0</v>
      </c>
      <c r="O19" s="38" t="s">
        <v>62</v>
      </c>
      <c r="P19" s="32"/>
      <c r="Q19" s="32"/>
      <c r="R19" s="21"/>
      <c r="S19" s="22"/>
    </row>
    <row r="20" customFormat="false" ht="12.75" hidden="false" customHeight="false" outlineLevel="0" collapsed="false">
      <c r="A20" s="58" t="n">
        <v>2</v>
      </c>
      <c r="B20" s="44" t="s">
        <v>92</v>
      </c>
      <c r="C20" s="42" t="s">
        <v>93</v>
      </c>
      <c r="D20" s="23" t="s">
        <v>94</v>
      </c>
      <c r="E20" s="42" t="s">
        <v>95</v>
      </c>
      <c r="F20" s="42" t="s">
        <v>96</v>
      </c>
      <c r="G20" s="42"/>
      <c r="H20" s="5"/>
      <c r="I20" s="22"/>
      <c r="J20" s="59" t="n">
        <v>32316697150</v>
      </c>
      <c r="K20" s="31" t="n">
        <v>0.011</v>
      </c>
      <c r="L20" s="32" t="n">
        <v>1000</v>
      </c>
      <c r="M20" s="60" t="n">
        <f aca="false">500*A20</f>
        <v>1000</v>
      </c>
      <c r="N20" s="34" t="n">
        <v>0</v>
      </c>
      <c r="O20" s="32" t="s">
        <v>97</v>
      </c>
      <c r="P20" s="32" t="n">
        <v>3000</v>
      </c>
      <c r="Q20" s="32" t="n">
        <v>3</v>
      </c>
      <c r="R20" s="29" t="s">
        <v>98</v>
      </c>
      <c r="S20" s="29" t="s">
        <v>99</v>
      </c>
    </row>
    <row r="21" customFormat="false" ht="12.75" hidden="false" customHeight="false" outlineLevel="0" collapsed="false">
      <c r="A21" s="55" t="n">
        <v>4</v>
      </c>
      <c r="B21" s="54" t="s">
        <v>100</v>
      </c>
      <c r="C21" s="20" t="s">
        <v>101</v>
      </c>
      <c r="D21" s="18" t="s">
        <v>102</v>
      </c>
      <c r="E21" s="20" t="s">
        <v>103</v>
      </c>
      <c r="F21" s="20" t="s">
        <v>104</v>
      </c>
      <c r="G21" s="20"/>
      <c r="H21" s="21"/>
      <c r="I21" s="22"/>
      <c r="J21" s="59" t="n">
        <v>32390023505</v>
      </c>
      <c r="K21" s="31" t="n">
        <v>0.02</v>
      </c>
      <c r="L21" s="32" t="n">
        <v>1000</v>
      </c>
      <c r="M21" s="60" t="n">
        <f aca="false">500*A21</f>
        <v>2000</v>
      </c>
      <c r="N21" s="34" t="n">
        <v>0</v>
      </c>
      <c r="O21" s="32" t="s">
        <v>105</v>
      </c>
      <c r="P21" s="32" t="n">
        <v>4000</v>
      </c>
      <c r="Q21" s="41" t="n">
        <v>2</v>
      </c>
      <c r="R21" s="35" t="s">
        <v>106</v>
      </c>
      <c r="S21" s="22" t="s">
        <v>107</v>
      </c>
    </row>
    <row r="22" customFormat="false" ht="12.75" hidden="false" customHeight="false" outlineLevel="0" collapsed="false">
      <c r="A22" s="61" t="n">
        <v>1</v>
      </c>
      <c r="B22" s="62" t="s">
        <v>108</v>
      </c>
      <c r="C22" s="46" t="s">
        <v>101</v>
      </c>
      <c r="D22" s="63" t="s">
        <v>109</v>
      </c>
      <c r="E22" s="46" t="s">
        <v>110</v>
      </c>
      <c r="F22" s="46" t="s">
        <v>111</v>
      </c>
      <c r="G22" s="46"/>
      <c r="H22" s="8"/>
      <c r="I22" s="22"/>
      <c r="J22" s="59" t="n">
        <v>32590988708</v>
      </c>
      <c r="K22" s="31" t="s">
        <v>112</v>
      </c>
      <c r="L22" s="32" t="n">
        <v>1000</v>
      </c>
      <c r="M22" s="64" t="n">
        <f aca="false">500*A22</f>
        <v>500</v>
      </c>
      <c r="N22" s="40" t="n">
        <v>0</v>
      </c>
      <c r="O22" s="38" t="s">
        <v>105</v>
      </c>
      <c r="P22" s="38" t="n">
        <v>3000</v>
      </c>
      <c r="Q22" s="38" t="n">
        <v>6</v>
      </c>
      <c r="R22" s="49" t="s">
        <v>113</v>
      </c>
      <c r="S22" s="65" t="s">
        <v>114</v>
      </c>
    </row>
    <row r="23" customFormat="false" ht="12.75" hidden="false" customHeight="false" outlineLevel="0" collapsed="false">
      <c r="A23" s="18" t="n">
        <v>1</v>
      </c>
      <c r="B23" s="54" t="s">
        <v>115</v>
      </c>
      <c r="C23" s="20" t="s">
        <v>101</v>
      </c>
      <c r="D23" s="20" t="s">
        <v>116</v>
      </c>
      <c r="E23" s="20" t="s">
        <v>117</v>
      </c>
      <c r="F23" s="46" t="s">
        <v>118</v>
      </c>
      <c r="G23" s="20"/>
      <c r="H23" s="21"/>
      <c r="I23" s="28"/>
      <c r="J23" s="43" t="n">
        <v>32714846870</v>
      </c>
      <c r="K23" s="24" t="s">
        <v>119</v>
      </c>
      <c r="L23" s="25" t="n">
        <v>500</v>
      </c>
      <c r="M23" s="26" t="n">
        <f aca="false">500*A23</f>
        <v>500</v>
      </c>
      <c r="N23" s="66" t="n">
        <v>500</v>
      </c>
      <c r="O23" s="25" t="s">
        <v>120</v>
      </c>
      <c r="P23" s="25" t="n">
        <v>1000</v>
      </c>
      <c r="Q23" s="25" t="n">
        <v>3</v>
      </c>
      <c r="R23" s="28"/>
      <c r="S23" s="29" t="s">
        <v>121</v>
      </c>
    </row>
    <row r="24" customFormat="false" ht="12.75" hidden="false" customHeight="false" outlineLevel="0" collapsed="false">
      <c r="A24" s="18" t="n">
        <v>1</v>
      </c>
      <c r="B24" s="19" t="s">
        <v>122</v>
      </c>
      <c r="C24" s="20" t="s">
        <v>101</v>
      </c>
      <c r="D24" s="20" t="s">
        <v>123</v>
      </c>
      <c r="E24" s="20" t="s">
        <v>124</v>
      </c>
      <c r="F24" s="20" t="s">
        <v>118</v>
      </c>
      <c r="G24" s="20"/>
      <c r="H24" s="21"/>
      <c r="I24" s="47"/>
      <c r="J24" s="36" t="n">
        <v>32716599879</v>
      </c>
      <c r="K24" s="37" t="s">
        <v>125</v>
      </c>
      <c r="L24" s="38" t="n">
        <v>1000</v>
      </c>
      <c r="M24" s="39" t="n">
        <f aca="false">500*A24</f>
        <v>500</v>
      </c>
      <c r="N24" s="67" t="n">
        <v>1000</v>
      </c>
      <c r="O24" s="38" t="s">
        <v>126</v>
      </c>
      <c r="P24" s="38"/>
      <c r="Q24" s="68" t="n">
        <v>2</v>
      </c>
      <c r="R24" s="47"/>
      <c r="S24" s="47"/>
    </row>
    <row r="25" customFormat="false" ht="12" hidden="false" customHeight="true" outlineLevel="0" collapsed="false">
      <c r="A25" s="23" t="n">
        <v>7</v>
      </c>
      <c r="B25" s="4" t="n">
        <v>104</v>
      </c>
      <c r="C25" s="69" t="s">
        <v>127</v>
      </c>
      <c r="D25" s="70" t="s">
        <v>128</v>
      </c>
      <c r="E25" s="42" t="s">
        <v>129</v>
      </c>
      <c r="F25" s="42"/>
      <c r="G25" s="42"/>
      <c r="H25" s="5"/>
      <c r="I25" s="71" t="n">
        <v>2498052</v>
      </c>
      <c r="J25" s="23"/>
      <c r="K25" s="24" t="n">
        <f aca="false">6.5/5000</f>
        <v>0.0013</v>
      </c>
      <c r="L25" s="25" t="n">
        <v>5000</v>
      </c>
      <c r="M25" s="26" t="n">
        <f aca="false">500*A25</f>
        <v>3500</v>
      </c>
      <c r="N25" s="44" t="n">
        <v>5000</v>
      </c>
      <c r="O25" s="25" t="s">
        <v>130</v>
      </c>
      <c r="P25" s="32" t="n">
        <v>3</v>
      </c>
      <c r="Q25" s="72" t="n">
        <f aca="false">(N25+P25*N25)/M25</f>
        <v>5.71428571428571</v>
      </c>
      <c r="R25" s="22"/>
      <c r="S25" s="73" t="s">
        <v>131</v>
      </c>
    </row>
    <row r="26" customFormat="false" ht="12.75" hidden="false" customHeight="false" outlineLevel="0" collapsed="false">
      <c r="A26" s="18" t="n">
        <v>5</v>
      </c>
      <c r="B26" s="19" t="n">
        <v>2702</v>
      </c>
      <c r="C26" s="74" t="s">
        <v>127</v>
      </c>
      <c r="D26" s="75" t="s">
        <v>132</v>
      </c>
      <c r="E26" s="20" t="s">
        <v>133</v>
      </c>
      <c r="F26" s="20"/>
      <c r="G26" s="20"/>
      <c r="H26" s="21"/>
      <c r="I26" s="71" t="n">
        <v>2498084</v>
      </c>
      <c r="J26" s="18"/>
      <c r="K26" s="31" t="n">
        <f aca="false">6.5/5000</f>
        <v>0.0013</v>
      </c>
      <c r="L26" s="32" t="n">
        <v>5000</v>
      </c>
      <c r="M26" s="33" t="n">
        <f aca="false">500*A26</f>
        <v>2500</v>
      </c>
      <c r="N26" s="54" t="n">
        <v>5000</v>
      </c>
      <c r="O26" s="76" t="s">
        <v>130</v>
      </c>
      <c r="P26" s="32" t="n">
        <v>2</v>
      </c>
      <c r="Q26" s="72" t="n">
        <f aca="false">(N26+P26*N26)/M26</f>
        <v>6</v>
      </c>
      <c r="R26" s="22"/>
      <c r="S26" s="73"/>
    </row>
    <row r="27" customFormat="false" ht="12.75" hidden="false" customHeight="false" outlineLevel="0" collapsed="false">
      <c r="A27" s="18" t="n">
        <v>2</v>
      </c>
      <c r="B27" s="19" t="n">
        <v>1502</v>
      </c>
      <c r="C27" s="77" t="s">
        <v>127</v>
      </c>
      <c r="D27" s="75" t="s">
        <v>134</v>
      </c>
      <c r="E27" s="20" t="s">
        <v>135</v>
      </c>
      <c r="F27" s="20"/>
      <c r="G27" s="20"/>
      <c r="H27" s="21"/>
      <c r="I27" s="71" t="n">
        <v>2498062</v>
      </c>
      <c r="J27" s="18"/>
      <c r="K27" s="31" t="n">
        <f aca="false">6.5/5000</f>
        <v>0.0013</v>
      </c>
      <c r="L27" s="32" t="n">
        <v>5000</v>
      </c>
      <c r="M27" s="33" t="n">
        <f aca="false">500*A27</f>
        <v>1000</v>
      </c>
      <c r="N27" s="54" t="n">
        <v>5000</v>
      </c>
      <c r="O27" s="76" t="s">
        <v>130</v>
      </c>
      <c r="P27" s="32"/>
      <c r="Q27" s="72" t="n">
        <f aca="false">(N27+P27*N27)/M27</f>
        <v>5</v>
      </c>
      <c r="R27" s="22"/>
      <c r="S27" s="73"/>
    </row>
    <row r="28" customFormat="false" ht="12.75" hidden="false" customHeight="false" outlineLevel="0" collapsed="false">
      <c r="A28" s="18" t="n">
        <v>5</v>
      </c>
      <c r="B28" s="19" t="n">
        <v>1002</v>
      </c>
      <c r="C28" s="78" t="s">
        <v>127</v>
      </c>
      <c r="D28" s="75" t="s">
        <v>136</v>
      </c>
      <c r="E28" s="20" t="s">
        <v>137</v>
      </c>
      <c r="F28" s="20"/>
      <c r="G28" s="20"/>
      <c r="H28" s="21"/>
      <c r="I28" s="71" t="n">
        <v>2498051</v>
      </c>
      <c r="J28" s="18"/>
      <c r="K28" s="31" t="n">
        <f aca="false">6.5/5000</f>
        <v>0.0013</v>
      </c>
      <c r="L28" s="32" t="n">
        <v>5000</v>
      </c>
      <c r="M28" s="33" t="n">
        <f aca="false">500*A28</f>
        <v>2500</v>
      </c>
      <c r="N28" s="54" t="n">
        <v>5000</v>
      </c>
      <c r="O28" s="32" t="s">
        <v>130</v>
      </c>
      <c r="P28" s="32" t="n">
        <v>2</v>
      </c>
      <c r="Q28" s="72" t="n">
        <f aca="false">(N28+P28*N28)/M28</f>
        <v>6</v>
      </c>
      <c r="R28" s="22"/>
      <c r="S28" s="73"/>
    </row>
    <row r="29" customFormat="false" ht="12.75" hidden="false" customHeight="false" outlineLevel="0" collapsed="false">
      <c r="A29" s="18" t="n">
        <v>3</v>
      </c>
      <c r="B29" s="19" t="n">
        <v>4701</v>
      </c>
      <c r="C29" s="79" t="s">
        <v>127</v>
      </c>
      <c r="D29" s="75" t="s">
        <v>138</v>
      </c>
      <c r="E29" s="20" t="s">
        <v>139</v>
      </c>
      <c r="F29" s="20"/>
      <c r="G29" s="20"/>
      <c r="H29" s="21"/>
      <c r="I29" s="71" t="n">
        <v>2498105</v>
      </c>
      <c r="J29" s="18"/>
      <c r="K29" s="31" t="n">
        <f aca="false">6.5/5000</f>
        <v>0.0013</v>
      </c>
      <c r="L29" s="32" t="n">
        <v>5000</v>
      </c>
      <c r="M29" s="33" t="n">
        <f aca="false">500*A29</f>
        <v>1500</v>
      </c>
      <c r="N29" s="54" t="n">
        <v>5000</v>
      </c>
      <c r="O29" s="32" t="s">
        <v>130</v>
      </c>
      <c r="P29" s="32" t="n">
        <v>1</v>
      </c>
      <c r="Q29" s="72" t="n">
        <f aca="false">(N29+P29*N29)/M29</f>
        <v>6.66666666666667</v>
      </c>
      <c r="R29" s="22"/>
      <c r="S29" s="73"/>
    </row>
    <row r="30" customFormat="false" ht="12.75" hidden="false" customHeight="false" outlineLevel="0" collapsed="false">
      <c r="A30" s="18" t="n">
        <v>2</v>
      </c>
      <c r="B30" s="19" t="n">
        <v>2201</v>
      </c>
      <c r="C30" s="52" t="s">
        <v>127</v>
      </c>
      <c r="D30" s="75" t="s">
        <v>140</v>
      </c>
      <c r="E30" s="20" t="s">
        <v>141</v>
      </c>
      <c r="F30" s="20"/>
      <c r="G30" s="20"/>
      <c r="H30" s="21"/>
      <c r="I30" s="71" t="n">
        <v>2498077</v>
      </c>
      <c r="J30" s="18"/>
      <c r="K30" s="31" t="n">
        <f aca="false">6.5/5000</f>
        <v>0.0013</v>
      </c>
      <c r="L30" s="32" t="n">
        <v>5000</v>
      </c>
      <c r="M30" s="33" t="n">
        <f aca="false">500*A30</f>
        <v>1000</v>
      </c>
      <c r="N30" s="54" t="n">
        <v>5000</v>
      </c>
      <c r="O30" s="76" t="s">
        <v>130</v>
      </c>
      <c r="P30" s="32"/>
      <c r="Q30" s="72" t="n">
        <f aca="false">(N30+P30*N30)/M30</f>
        <v>5</v>
      </c>
      <c r="R30" s="22"/>
      <c r="S30" s="73"/>
    </row>
    <row r="31" customFormat="false" ht="12.75" hidden="false" customHeight="false" outlineLevel="0" collapsed="false">
      <c r="A31" s="18" t="n">
        <v>5</v>
      </c>
      <c r="B31" s="19" t="n">
        <v>102</v>
      </c>
      <c r="C31" s="80" t="s">
        <v>127</v>
      </c>
      <c r="D31" s="75" t="s">
        <v>142</v>
      </c>
      <c r="E31" s="20" t="s">
        <v>143</v>
      </c>
      <c r="F31" s="20"/>
      <c r="G31" s="20"/>
      <c r="H31" s="21"/>
      <c r="I31" s="71" t="n">
        <v>2498050</v>
      </c>
      <c r="J31" s="18"/>
      <c r="K31" s="31" t="n">
        <f aca="false">6.5/5000</f>
        <v>0.0013</v>
      </c>
      <c r="L31" s="32" t="n">
        <v>5000</v>
      </c>
      <c r="M31" s="33" t="n">
        <f aca="false">500*A31</f>
        <v>2500</v>
      </c>
      <c r="N31" s="54" t="n">
        <v>5000</v>
      </c>
      <c r="O31" s="76" t="s">
        <v>130</v>
      </c>
      <c r="P31" s="32" t="n">
        <v>2</v>
      </c>
      <c r="Q31" s="72" t="n">
        <f aca="false">(N31+P31*N31)/M31</f>
        <v>6</v>
      </c>
      <c r="R31" s="22" t="s">
        <v>144</v>
      </c>
      <c r="S31" s="73"/>
    </row>
    <row r="32" customFormat="false" ht="12.75" hidden="false" customHeight="false" outlineLevel="0" collapsed="false">
      <c r="A32" s="18" t="n">
        <v>2</v>
      </c>
      <c r="B32" s="19" t="n">
        <v>100</v>
      </c>
      <c r="C32" s="81" t="s">
        <v>127</v>
      </c>
      <c r="D32" s="19" t="s">
        <v>145</v>
      </c>
      <c r="E32" s="20" t="s">
        <v>146</v>
      </c>
      <c r="F32" s="20"/>
      <c r="G32" s="20"/>
      <c r="H32" s="21"/>
      <c r="I32" s="71" t="n">
        <v>2498048</v>
      </c>
      <c r="J32" s="18"/>
      <c r="K32" s="31" t="n">
        <f aca="false">6.5/5000</f>
        <v>0.0013</v>
      </c>
      <c r="L32" s="32" t="n">
        <v>5000</v>
      </c>
      <c r="M32" s="33" t="n">
        <f aca="false">500*A32</f>
        <v>1000</v>
      </c>
      <c r="N32" s="54" t="n">
        <v>5000</v>
      </c>
      <c r="O32" s="76" t="s">
        <v>130</v>
      </c>
      <c r="P32" s="32"/>
      <c r="Q32" s="72" t="n">
        <f aca="false">(N32+P32*N32)/M32</f>
        <v>5</v>
      </c>
      <c r="R32" s="22"/>
      <c r="S32" s="73"/>
    </row>
    <row r="33" customFormat="false" ht="13.5" hidden="false" customHeight="false" outlineLevel="0" collapsed="false">
      <c r="A33" s="18" t="n">
        <v>3</v>
      </c>
      <c r="B33" s="19" t="n">
        <v>13</v>
      </c>
      <c r="C33" s="82" t="s">
        <v>147</v>
      </c>
      <c r="D33" s="19" t="s">
        <v>148</v>
      </c>
      <c r="E33" s="20" t="s">
        <v>149</v>
      </c>
      <c r="F33" s="20"/>
      <c r="G33" s="20"/>
      <c r="H33" s="21"/>
      <c r="I33" s="71" t="n">
        <v>2497996</v>
      </c>
      <c r="J33" s="63"/>
      <c r="K33" s="37" t="n">
        <f aca="false">10.5/5000</f>
        <v>0.0021</v>
      </c>
      <c r="L33" s="38" t="n">
        <v>5000</v>
      </c>
      <c r="M33" s="39" t="n">
        <f aca="false">500*A33</f>
        <v>1500</v>
      </c>
      <c r="N33" s="62" t="n">
        <v>5000</v>
      </c>
      <c r="O33" s="83" t="s">
        <v>130</v>
      </c>
      <c r="P33" s="38" t="n">
        <v>1</v>
      </c>
      <c r="Q33" s="72" t="n">
        <f aca="false">(N33+P33*N33)/M33</f>
        <v>6.66666666666667</v>
      </c>
      <c r="R33" s="47" t="s">
        <v>150</v>
      </c>
      <c r="S33" s="47" t="s">
        <v>151</v>
      </c>
    </row>
    <row r="34" customFormat="false" ht="13.5" hidden="false" customHeight="false" outlineLevel="0" collapsed="false">
      <c r="A34" s="84" t="s">
        <v>152</v>
      </c>
      <c r="B34" s="85"/>
      <c r="C34" s="86"/>
      <c r="D34" s="85"/>
      <c r="E34" s="86"/>
      <c r="F34" s="86"/>
      <c r="G34" s="86"/>
      <c r="H34" s="86"/>
      <c r="I34" s="87"/>
      <c r="J34" s="88"/>
      <c r="K34" s="89" t="n">
        <f aca="false">SUMPRODUCT(A8:A33,K8:K33)</f>
        <v>0.6596</v>
      </c>
      <c r="L34" s="90"/>
      <c r="M34" s="91"/>
      <c r="P34" s="0" t="n">
        <f aca="false">SUM(P25:P33)</f>
        <v>11</v>
      </c>
    </row>
    <row r="35" customFormat="false" ht="12.75" hidden="false" customHeight="false" outlineLevel="0" collapsed="false">
      <c r="A35" s="20"/>
      <c r="B35" s="19"/>
      <c r="C35" s="20"/>
      <c r="D35" s="19"/>
      <c r="E35" s="20"/>
      <c r="F35" s="20"/>
      <c r="G35" s="20"/>
      <c r="H35" s="20"/>
      <c r="I35" s="59"/>
      <c r="K35" s="1"/>
      <c r="L35" s="1"/>
      <c r="M35" s="1"/>
    </row>
    <row r="36" customFormat="false" ht="12.75" hidden="false" customHeight="false" outlineLevel="0" collapsed="false">
      <c r="A36" s="10" t="s">
        <v>153</v>
      </c>
      <c r="K36" s="1"/>
      <c r="L36" s="1"/>
      <c r="M36" s="1"/>
    </row>
    <row r="37" customFormat="false" ht="12.75" hidden="false" customHeight="false" outlineLevel="0" collapsed="false">
      <c r="A37" s="23" t="n">
        <v>1</v>
      </c>
      <c r="B37" s="4"/>
      <c r="C37" s="42"/>
      <c r="D37" s="42"/>
      <c r="E37" s="42"/>
      <c r="F37" s="42" t="s">
        <v>154</v>
      </c>
      <c r="G37" s="42"/>
      <c r="H37" s="5"/>
      <c r="I37" s="23"/>
      <c r="J37" s="92" t="s">
        <v>155</v>
      </c>
      <c r="K37" s="4" t="n">
        <f aca="false">2.13*1.1</f>
        <v>2.343</v>
      </c>
      <c r="L37" s="4" t="n">
        <v>1</v>
      </c>
      <c r="M37" s="25"/>
    </row>
    <row r="38" customFormat="false" ht="13.5" hidden="false" customHeight="false" outlineLevel="0" collapsed="false">
      <c r="A38" s="18" t="n">
        <v>1</v>
      </c>
      <c r="B38" s="19"/>
      <c r="C38" s="20"/>
      <c r="D38" s="20"/>
      <c r="E38" s="20"/>
      <c r="F38" s="20" t="s">
        <v>156</v>
      </c>
      <c r="G38" s="20"/>
      <c r="H38" s="21"/>
      <c r="I38" s="18"/>
      <c r="J38" s="20" t="s">
        <v>157</v>
      </c>
      <c r="K38" s="19" t="n">
        <v>0.8</v>
      </c>
      <c r="L38" s="19" t="n">
        <v>350</v>
      </c>
      <c r="M38" s="32"/>
    </row>
    <row r="39" customFormat="false" ht="13.5" hidden="false" customHeight="false" outlineLevel="0" collapsed="false">
      <c r="A39" s="84" t="s">
        <v>152</v>
      </c>
      <c r="B39" s="85"/>
      <c r="C39" s="86"/>
      <c r="D39" s="86"/>
      <c r="E39" s="86"/>
      <c r="F39" s="86"/>
      <c r="G39" s="86"/>
      <c r="H39" s="86"/>
      <c r="I39" s="86"/>
      <c r="J39" s="86"/>
      <c r="K39" s="93" t="n">
        <f aca="false">SUMPRODUCT(A37:A38,K37:K38)</f>
        <v>3.143</v>
      </c>
      <c r="L39" s="85"/>
      <c r="M39" s="94"/>
    </row>
    <row r="40" customFormat="false" ht="12.75" hidden="false" customHeight="false" outlineLevel="0" collapsed="false">
      <c r="A40" s="20"/>
      <c r="B40" s="19"/>
      <c r="C40" s="20"/>
      <c r="D40" s="19"/>
      <c r="E40" s="20"/>
      <c r="F40" s="20"/>
      <c r="G40" s="20"/>
      <c r="H40" s="20"/>
      <c r="I40" s="59"/>
      <c r="K40" s="1"/>
      <c r="L40" s="1"/>
      <c r="M40" s="1"/>
    </row>
    <row r="41" customFormat="false" ht="12.75" hidden="false" customHeight="false" outlineLevel="0" collapsed="false">
      <c r="A41" s="10" t="s">
        <v>158</v>
      </c>
      <c r="K41" s="1"/>
      <c r="L41" s="1"/>
      <c r="M41" s="1"/>
    </row>
    <row r="42" customFormat="false" ht="12.75" hidden="false" customHeight="false" outlineLevel="0" collapsed="false">
      <c r="A42" s="95" t="n">
        <v>1</v>
      </c>
      <c r="B42" s="4" t="s">
        <v>159</v>
      </c>
      <c r="C42" s="42" t="s">
        <v>160</v>
      </c>
      <c r="D42" s="42"/>
      <c r="E42" s="42"/>
      <c r="F42" s="42" t="s">
        <v>161</v>
      </c>
      <c r="G42" s="42"/>
      <c r="H42" s="5"/>
      <c r="I42" s="23"/>
      <c r="J42" s="96" t="n">
        <v>1246203110</v>
      </c>
      <c r="K42" s="4" t="n">
        <f aca="false">9.5/100</f>
        <v>0.095</v>
      </c>
      <c r="L42" s="4" t="n">
        <v>100</v>
      </c>
      <c r="M42" s="25"/>
      <c r="P42" s="23" t="n">
        <v>500</v>
      </c>
      <c r="Q42" s="97" t="n">
        <v>1</v>
      </c>
    </row>
    <row r="43" customFormat="false" ht="12.75" hidden="false" customHeight="false" outlineLevel="0" collapsed="false">
      <c r="A43" s="18" t="n">
        <v>4</v>
      </c>
      <c r="B43" s="19" t="n">
        <v>47</v>
      </c>
      <c r="C43" s="20"/>
      <c r="D43" s="20"/>
      <c r="E43" s="20"/>
      <c r="F43" s="20" t="s">
        <v>162</v>
      </c>
      <c r="G43" s="20"/>
      <c r="H43" s="21"/>
      <c r="I43" s="18"/>
      <c r="J43" s="59" t="n">
        <v>32523580839</v>
      </c>
      <c r="K43" s="19" t="n">
        <f aca="false">7.5/200</f>
        <v>0.0375</v>
      </c>
      <c r="L43" s="19" t="n">
        <v>200</v>
      </c>
      <c r="M43" s="32"/>
      <c r="P43" s="18" t="n">
        <f aca="false">2200+2000</f>
        <v>4200</v>
      </c>
      <c r="Q43" s="98" t="n">
        <f aca="false">P43/500/4</f>
        <v>2.1</v>
      </c>
      <c r="R43" s="0" t="s">
        <v>163</v>
      </c>
    </row>
    <row r="44" customFormat="false" ht="12.75" hidden="false" customHeight="false" outlineLevel="0" collapsed="false">
      <c r="A44" s="18" t="n">
        <v>2</v>
      </c>
      <c r="B44" s="20" t="s">
        <v>164</v>
      </c>
      <c r="C44" s="20"/>
      <c r="D44" s="20"/>
      <c r="E44" s="20"/>
      <c r="F44" s="20" t="s">
        <v>165</v>
      </c>
      <c r="G44" s="20"/>
      <c r="H44" s="21"/>
      <c r="I44" s="18"/>
      <c r="J44" s="59" t="n">
        <v>888918208</v>
      </c>
      <c r="K44" s="19" t="n">
        <f aca="false">17.28/100</f>
        <v>0.1728</v>
      </c>
      <c r="L44" s="19" t="n">
        <v>100</v>
      </c>
      <c r="M44" s="32"/>
      <c r="P44" s="18"/>
      <c r="Q44" s="21"/>
    </row>
    <row r="45" customFormat="false" ht="12.75" hidden="false" customHeight="false" outlineLevel="0" collapsed="false">
      <c r="A45" s="18" t="n">
        <v>5</v>
      </c>
      <c r="B45" s="19" t="s">
        <v>166</v>
      </c>
      <c r="C45" s="20"/>
      <c r="D45" s="20"/>
      <c r="E45" s="20"/>
      <c r="F45" s="20" t="s">
        <v>167</v>
      </c>
      <c r="G45" s="20"/>
      <c r="H45" s="21"/>
      <c r="I45" s="18"/>
      <c r="J45" s="59" t="n">
        <v>1800702995</v>
      </c>
      <c r="K45" s="19" t="n">
        <v>0.0228</v>
      </c>
      <c r="L45" s="19" t="n">
        <v>1000</v>
      </c>
      <c r="M45" s="32"/>
      <c r="P45" s="18"/>
      <c r="Q45" s="21"/>
    </row>
    <row r="46" customFormat="false" ht="13.5" hidden="false" customHeight="false" outlineLevel="0" collapsed="false">
      <c r="A46" s="18" t="n">
        <v>2</v>
      </c>
      <c r="B46" s="19" t="s">
        <v>168</v>
      </c>
      <c r="C46" s="20"/>
      <c r="D46" s="20"/>
      <c r="E46" s="20"/>
      <c r="F46" s="20" t="s">
        <v>169</v>
      </c>
      <c r="G46" s="20"/>
      <c r="H46" s="21"/>
      <c r="I46" s="18"/>
      <c r="J46" s="20" t="s">
        <v>170</v>
      </c>
      <c r="K46" s="19" t="n">
        <v>2.1</v>
      </c>
      <c r="L46" s="19" t="n">
        <v>500</v>
      </c>
      <c r="M46" s="32"/>
      <c r="P46" s="63"/>
      <c r="Q46" s="8"/>
    </row>
    <row r="47" customFormat="false" ht="13.5" hidden="false" customHeight="false" outlineLevel="0" collapsed="false">
      <c r="A47" s="84" t="s">
        <v>152</v>
      </c>
      <c r="B47" s="85"/>
      <c r="C47" s="86"/>
      <c r="D47" s="86"/>
      <c r="E47" s="86"/>
      <c r="F47" s="86"/>
      <c r="G47" s="86"/>
      <c r="H47" s="86"/>
      <c r="I47" s="86"/>
      <c r="J47" s="86"/>
      <c r="K47" s="93" t="n">
        <f aca="false">SUMPRODUCT(A42:A46,K42:K46)</f>
        <v>4.9046</v>
      </c>
      <c r="L47" s="85"/>
      <c r="M47" s="94"/>
    </row>
    <row r="48" customFormat="false" ht="12.75" hidden="false" customHeight="false" outlineLevel="0" collapsed="false">
      <c r="A48" s="20"/>
      <c r="B48" s="19"/>
      <c r="C48" s="20"/>
      <c r="D48" s="19"/>
      <c r="E48" s="20"/>
      <c r="F48" s="20"/>
      <c r="G48" s="20"/>
      <c r="H48" s="20"/>
      <c r="I48" s="59"/>
      <c r="K48" s="1"/>
      <c r="L48" s="1"/>
      <c r="M48" s="1"/>
    </row>
    <row r="49" customFormat="false" ht="12.75" hidden="false" customHeight="false" outlineLevel="0" collapsed="false">
      <c r="A49" s="10" t="s">
        <v>171</v>
      </c>
      <c r="K49" s="1"/>
      <c r="L49" s="1"/>
      <c r="M49" s="1"/>
    </row>
    <row r="50" customFormat="false" ht="12.75" hidden="false" customHeight="false" outlineLevel="0" collapsed="false">
      <c r="A50" s="23" t="n">
        <v>1</v>
      </c>
      <c r="B50" s="4" t="s">
        <v>172</v>
      </c>
      <c r="C50" s="42" t="s">
        <v>173</v>
      </c>
      <c r="D50" s="42" t="s">
        <v>172</v>
      </c>
      <c r="E50" s="42" t="s">
        <v>174</v>
      </c>
      <c r="F50" s="42"/>
      <c r="G50" s="42"/>
      <c r="H50" s="5"/>
      <c r="I50" s="23"/>
      <c r="J50" s="42"/>
      <c r="K50" s="4" t="n">
        <v>0</v>
      </c>
      <c r="L50" s="4"/>
      <c r="M50" s="25"/>
    </row>
    <row r="51" customFormat="false" ht="12.75" hidden="false" customHeight="false" outlineLevel="0" collapsed="false">
      <c r="A51" s="18" t="n">
        <v>1</v>
      </c>
      <c r="B51" s="19" t="s">
        <v>175</v>
      </c>
      <c r="C51" s="20" t="s">
        <v>176</v>
      </c>
      <c r="D51" s="20" t="s">
        <v>175</v>
      </c>
      <c r="E51" s="20" t="s">
        <v>177</v>
      </c>
      <c r="F51" s="20" t="s">
        <v>178</v>
      </c>
      <c r="G51" s="20"/>
      <c r="H51" s="21"/>
      <c r="I51" s="18"/>
      <c r="J51" s="20"/>
      <c r="K51" s="19" t="n">
        <v>0</v>
      </c>
      <c r="L51" s="19"/>
      <c r="M51" s="32"/>
    </row>
    <row r="52" customFormat="false" ht="13.5" hidden="false" customHeight="false" outlineLevel="0" collapsed="false">
      <c r="A52" s="18" t="n">
        <v>1</v>
      </c>
      <c r="B52" s="19" t="s">
        <v>175</v>
      </c>
      <c r="C52" s="20" t="s">
        <v>176</v>
      </c>
      <c r="D52" s="20" t="s">
        <v>175</v>
      </c>
      <c r="E52" s="20" t="s">
        <v>179</v>
      </c>
      <c r="F52" s="20" t="s">
        <v>178</v>
      </c>
      <c r="G52" s="20"/>
      <c r="H52" s="21"/>
      <c r="I52" s="18"/>
      <c r="J52" s="20"/>
      <c r="K52" s="19" t="n">
        <v>0</v>
      </c>
      <c r="L52" s="19"/>
      <c r="M52" s="32"/>
    </row>
    <row r="53" customFormat="false" ht="13.5" hidden="false" customHeight="false" outlineLevel="0" collapsed="false">
      <c r="A53" s="84" t="s">
        <v>152</v>
      </c>
      <c r="B53" s="85"/>
      <c r="C53" s="86"/>
      <c r="D53" s="85"/>
      <c r="E53" s="86"/>
      <c r="F53" s="86"/>
      <c r="G53" s="86"/>
      <c r="H53" s="86"/>
      <c r="I53" s="87"/>
      <c r="J53" s="86"/>
      <c r="K53" s="93" t="n">
        <f aca="false">SUMPRODUCT(A50:A52,K50:K52)</f>
        <v>0</v>
      </c>
      <c r="L53" s="85"/>
      <c r="M53" s="94"/>
    </row>
    <row r="54" customFormat="false" ht="13.5" hidden="false" customHeight="false" outlineLevel="0" collapsed="false">
      <c r="A54" s="99"/>
      <c r="K54" s="19"/>
      <c r="L54" s="1"/>
      <c r="M54" s="1"/>
    </row>
    <row r="55" customFormat="false" ht="13.5" hidden="false" customHeight="false" outlineLevel="0" collapsed="false">
      <c r="A55" s="100" t="s">
        <v>180</v>
      </c>
      <c r="B55" s="85"/>
      <c r="C55" s="86"/>
      <c r="D55" s="86"/>
      <c r="E55" s="86"/>
      <c r="F55" s="86"/>
      <c r="G55" s="86"/>
      <c r="H55" s="86"/>
      <c r="I55" s="86"/>
      <c r="J55" s="86"/>
      <c r="K55" s="101" t="n">
        <f aca="false">SUM(K34,K47,K39)</f>
        <v>8.7072</v>
      </c>
      <c r="L55" s="85"/>
      <c r="M55" s="94"/>
    </row>
    <row r="57" customFormat="false" ht="12.75" hidden="false" customHeight="false" outlineLevel="0" collapsed="false">
      <c r="A57" s="10" t="s">
        <v>181</v>
      </c>
    </row>
    <row r="58" customFormat="false" ht="12.75" hidden="false" customHeight="false" outlineLevel="0" collapsed="false">
      <c r="A58" s="10"/>
      <c r="B58" s="102" t="s">
        <v>182</v>
      </c>
      <c r="C58" s="103" t="s">
        <v>183</v>
      </c>
      <c r="D58" s="103" t="s">
        <v>9</v>
      </c>
      <c r="E58" s="102" t="s">
        <v>184</v>
      </c>
      <c r="F58" s="102" t="s">
        <v>185</v>
      </c>
    </row>
    <row r="59" customFormat="false" ht="12.75" hidden="false" customHeight="false" outlineLevel="0" collapsed="false">
      <c r="A59" s="3" t="s">
        <v>186</v>
      </c>
      <c r="B59" s="104" t="n">
        <v>31</v>
      </c>
      <c r="C59" s="105" t="n">
        <v>8</v>
      </c>
      <c r="D59" s="105" t="n">
        <v>805</v>
      </c>
      <c r="E59" s="104" t="n">
        <v>2</v>
      </c>
      <c r="F59" s="104" t="n">
        <f aca="false">B59*E59</f>
        <v>62</v>
      </c>
    </row>
    <row r="60" customFormat="false" ht="12.75" hidden="false" customHeight="false" outlineLevel="0" collapsed="false">
      <c r="A60" s="6"/>
      <c r="B60" s="106" t="n">
        <v>3</v>
      </c>
      <c r="C60" s="64" t="n">
        <v>1</v>
      </c>
      <c r="D60" s="64" t="n">
        <v>1206</v>
      </c>
      <c r="E60" s="106" t="n">
        <v>2</v>
      </c>
      <c r="F60" s="106" t="n">
        <f aca="false">B60*E60</f>
        <v>6</v>
      </c>
    </row>
    <row r="61" customFormat="false" ht="12.75" hidden="false" customHeight="false" outlineLevel="0" collapsed="false">
      <c r="A61" s="107" t="s">
        <v>187</v>
      </c>
      <c r="B61" s="108" t="n">
        <v>10</v>
      </c>
      <c r="C61" s="109" t="n">
        <v>4</v>
      </c>
      <c r="D61" s="109" t="s">
        <v>188</v>
      </c>
      <c r="E61" s="108" t="n">
        <v>2</v>
      </c>
      <c r="F61" s="106" t="n">
        <f aca="false">B61*E61</f>
        <v>20</v>
      </c>
    </row>
    <row r="62" customFormat="false" ht="12.75" hidden="false" customHeight="false" outlineLevel="0" collapsed="false">
      <c r="A62" s="6" t="s">
        <v>189</v>
      </c>
      <c r="B62" s="110" t="n">
        <v>10</v>
      </c>
      <c r="C62" s="60" t="n">
        <v>2</v>
      </c>
      <c r="D62" s="60" t="s">
        <v>47</v>
      </c>
      <c r="E62" s="110" t="n">
        <v>2</v>
      </c>
      <c r="F62" s="110" t="n">
        <f aca="false">B62*E62</f>
        <v>20</v>
      </c>
    </row>
    <row r="63" customFormat="false" ht="12.75" hidden="false" customHeight="false" outlineLevel="0" collapsed="false">
      <c r="A63" s="3" t="s">
        <v>190</v>
      </c>
      <c r="B63" s="104" t="n">
        <v>2</v>
      </c>
      <c r="C63" s="105" t="n">
        <v>2</v>
      </c>
      <c r="D63" s="105" t="s">
        <v>59</v>
      </c>
      <c r="E63" s="104" t="n">
        <v>8</v>
      </c>
      <c r="F63" s="104" t="n">
        <f aca="false">B63*E63</f>
        <v>16</v>
      </c>
    </row>
    <row r="64" customFormat="false" ht="12.75" hidden="false" customHeight="false" outlineLevel="0" collapsed="false">
      <c r="A64" s="111"/>
      <c r="B64" s="110" t="n">
        <v>1</v>
      </c>
      <c r="C64" s="60" t="n">
        <v>1</v>
      </c>
      <c r="D64" s="60" t="s">
        <v>69</v>
      </c>
      <c r="E64" s="110" t="n">
        <v>14</v>
      </c>
      <c r="F64" s="110" t="n">
        <f aca="false">B64*E64</f>
        <v>14</v>
      </c>
    </row>
    <row r="65" customFormat="false" ht="12.75" hidden="false" customHeight="false" outlineLevel="0" collapsed="false">
      <c r="A65" s="111"/>
      <c r="B65" s="106" t="n">
        <v>3</v>
      </c>
      <c r="C65" s="64" t="n">
        <v>3</v>
      </c>
      <c r="D65" s="64" t="s">
        <v>74</v>
      </c>
      <c r="E65" s="106" t="n">
        <v>16</v>
      </c>
      <c r="F65" s="106" t="n">
        <f aca="false">B65*E65</f>
        <v>48</v>
      </c>
    </row>
    <row r="66" customFormat="false" ht="12.75" hidden="false" customHeight="false" outlineLevel="0" collapsed="false">
      <c r="A66" s="112" t="s">
        <v>191</v>
      </c>
      <c r="B66" s="110" t="n">
        <v>2</v>
      </c>
      <c r="C66" s="33" t="n">
        <v>1</v>
      </c>
      <c r="D66" s="104" t="s">
        <v>93</v>
      </c>
      <c r="E66" s="110" t="n">
        <v>3</v>
      </c>
      <c r="F66" s="110" t="n">
        <f aca="false">B66*E66</f>
        <v>6</v>
      </c>
    </row>
    <row r="67" customFormat="false" ht="13.5" hidden="false" customHeight="false" outlineLevel="0" collapsed="false">
      <c r="A67" s="113" t="s">
        <v>192</v>
      </c>
      <c r="B67" s="114" t="n">
        <v>7</v>
      </c>
      <c r="C67" s="115" t="n">
        <v>4</v>
      </c>
      <c r="D67" s="114" t="s">
        <v>101</v>
      </c>
      <c r="E67" s="114" t="n">
        <v>4</v>
      </c>
      <c r="F67" s="114" t="n">
        <f aca="false">B67*E67</f>
        <v>28</v>
      </c>
    </row>
    <row r="68" customFormat="false" ht="13.5" hidden="false" customHeight="false" outlineLevel="0" collapsed="false">
      <c r="A68" s="116" t="s">
        <v>193</v>
      </c>
      <c r="B68" s="117" t="n">
        <f aca="false">SUM(B59:B67)</f>
        <v>69</v>
      </c>
      <c r="C68" s="117" t="n">
        <f aca="false">SUM(C59:C67)</f>
        <v>26</v>
      </c>
      <c r="D68" s="118" t="n">
        <v>8</v>
      </c>
      <c r="E68" s="119"/>
      <c r="F68" s="120" t="n">
        <f aca="false">SUM(F59:F67)</f>
        <v>220</v>
      </c>
    </row>
    <row r="69" customFormat="false" ht="12.75" hidden="false" customHeight="false" outlineLevel="0" collapsed="false">
      <c r="A69" s="99"/>
      <c r="B69" s="121"/>
      <c r="C69" s="121"/>
      <c r="D69" s="20"/>
      <c r="E69" s="121"/>
      <c r="F69" s="121"/>
    </row>
    <row r="71" customFormat="false" ht="12.75" hidden="false" customHeight="false" outlineLevel="0" collapsed="false">
      <c r="A71" s="122" t="s">
        <v>194</v>
      </c>
      <c r="B71" s="108" t="n">
        <v>1</v>
      </c>
      <c r="C71" s="108" t="n">
        <v>1</v>
      </c>
      <c r="D71" s="108" t="s">
        <v>195</v>
      </c>
      <c r="E71" s="108" t="n">
        <v>6</v>
      </c>
      <c r="F71" s="108" t="n">
        <f aca="false">B71*E71</f>
        <v>6</v>
      </c>
    </row>
    <row r="72" customFormat="false" ht="13.5" hidden="false" customHeight="false" outlineLevel="0" collapsed="false">
      <c r="A72" s="123"/>
      <c r="B72" s="124" t="n">
        <v>1</v>
      </c>
      <c r="C72" s="124" t="n">
        <v>1</v>
      </c>
      <c r="D72" s="124" t="s">
        <v>176</v>
      </c>
      <c r="E72" s="124" t="n">
        <v>2</v>
      </c>
      <c r="F72" s="124" t="n">
        <f aca="false">B72*E72</f>
        <v>2</v>
      </c>
    </row>
    <row r="73" customFormat="false" ht="14.25" hidden="false" customHeight="false" outlineLevel="0" collapsed="false">
      <c r="A73" s="123"/>
      <c r="B73" s="124" t="n">
        <v>1</v>
      </c>
      <c r="C73" s="124" t="n">
        <v>1</v>
      </c>
      <c r="D73" s="124" t="s">
        <v>176</v>
      </c>
      <c r="E73" s="124" t="n">
        <v>2</v>
      </c>
      <c r="F73" s="124" t="n">
        <f aca="false">B73*E73</f>
        <v>2</v>
      </c>
    </row>
    <row r="74" customFormat="false" ht="13.5" hidden="false" customHeight="false" outlineLevel="0" collapsed="false">
      <c r="A74" s="6" t="s">
        <v>193</v>
      </c>
      <c r="B74" s="119" t="n">
        <f aca="false">SUM(B71:B73)</f>
        <v>3</v>
      </c>
      <c r="C74" s="119" t="n">
        <f aca="false">SUM(C71:C73)</f>
        <v>3</v>
      </c>
      <c r="D74" s="119" t="n">
        <v>2</v>
      </c>
      <c r="E74" s="119"/>
      <c r="F74" s="119" t="n">
        <f aca="false">SUM(F71:F73)</f>
        <v>10</v>
      </c>
    </row>
    <row r="78" customFormat="false" ht="12.75" hidden="false" customHeight="false" outlineLevel="0" collapsed="false">
      <c r="A78" s="10" t="s">
        <v>181</v>
      </c>
    </row>
    <row r="79" customFormat="false" ht="12.75" hidden="false" customHeight="false" outlineLevel="0" collapsed="false">
      <c r="A79" s="10"/>
      <c r="B79" s="102" t="s">
        <v>182</v>
      </c>
      <c r="C79" s="103" t="s">
        <v>183</v>
      </c>
      <c r="D79" s="103" t="s">
        <v>9</v>
      </c>
      <c r="E79" s="122" t="s">
        <v>196</v>
      </c>
      <c r="F79" s="125" t="s">
        <v>197</v>
      </c>
      <c r="G79" s="125" t="s">
        <v>198</v>
      </c>
      <c r="H79" s="102" t="s">
        <v>184</v>
      </c>
      <c r="I79" s="102" t="s">
        <v>185</v>
      </c>
    </row>
    <row r="80" customFormat="false" ht="12.75" hidden="false" customHeight="false" outlineLevel="0" collapsed="false">
      <c r="A80" s="3" t="s">
        <v>186</v>
      </c>
      <c r="B80" s="104" t="n">
        <v>31</v>
      </c>
      <c r="C80" s="105" t="n">
        <v>8</v>
      </c>
      <c r="D80" s="105" t="n">
        <v>805</v>
      </c>
      <c r="E80" s="126" t="n">
        <v>8</v>
      </c>
      <c r="F80" s="1"/>
      <c r="G80" s="1"/>
      <c r="H80" s="104" t="n">
        <v>2</v>
      </c>
      <c r="I80" s="104" t="n">
        <f aca="false">B80*H80</f>
        <v>62</v>
      </c>
    </row>
    <row r="81" customFormat="false" ht="12.75" hidden="false" customHeight="false" outlineLevel="0" collapsed="false">
      <c r="A81" s="6"/>
      <c r="B81" s="106" t="n">
        <v>3</v>
      </c>
      <c r="C81" s="64" t="n">
        <v>1</v>
      </c>
      <c r="D81" s="64" t="n">
        <v>1206</v>
      </c>
      <c r="E81" s="127" t="n">
        <v>1</v>
      </c>
      <c r="F81" s="1"/>
      <c r="G81" s="1"/>
      <c r="H81" s="106" t="n">
        <v>2</v>
      </c>
      <c r="I81" s="106" t="n">
        <f aca="false">B81*H81</f>
        <v>6</v>
      </c>
    </row>
    <row r="82" customFormat="false" ht="12.75" hidden="false" customHeight="false" outlineLevel="0" collapsed="false">
      <c r="A82" s="107" t="s">
        <v>187</v>
      </c>
      <c r="B82" s="108" t="n">
        <v>10</v>
      </c>
      <c r="C82" s="109" t="n">
        <v>4</v>
      </c>
      <c r="D82" s="109" t="s">
        <v>188</v>
      </c>
      <c r="E82" s="128" t="n">
        <v>4</v>
      </c>
      <c r="F82" s="129"/>
      <c r="G82" s="130"/>
      <c r="H82" s="108" t="n">
        <v>2</v>
      </c>
      <c r="I82" s="106" t="n">
        <f aca="false">B82*H82</f>
        <v>20</v>
      </c>
    </row>
    <row r="83" customFormat="false" ht="12.75" hidden="false" customHeight="false" outlineLevel="0" collapsed="false">
      <c r="A83" s="6" t="s">
        <v>189</v>
      </c>
      <c r="B83" s="110" t="n">
        <v>10</v>
      </c>
      <c r="C83" s="60" t="n">
        <v>2</v>
      </c>
      <c r="D83" s="60" t="s">
        <v>47</v>
      </c>
      <c r="F83" s="131" t="n">
        <v>2</v>
      </c>
      <c r="G83" s="25"/>
      <c r="H83" s="110" t="n">
        <v>2</v>
      </c>
      <c r="I83" s="110" t="n">
        <f aca="false">B83*H83</f>
        <v>20</v>
      </c>
    </row>
    <row r="84" customFormat="false" ht="12.75" hidden="false" customHeight="false" outlineLevel="0" collapsed="false">
      <c r="A84" s="3" t="s">
        <v>190</v>
      </c>
      <c r="B84" s="104" t="n">
        <v>2</v>
      </c>
      <c r="C84" s="105" t="n">
        <v>2</v>
      </c>
      <c r="D84" s="105" t="s">
        <v>59</v>
      </c>
      <c r="E84" s="24"/>
      <c r="F84" s="132" t="n">
        <v>2</v>
      </c>
      <c r="G84" s="25"/>
      <c r="H84" s="104" t="n">
        <v>8</v>
      </c>
      <c r="I84" s="104" t="n">
        <f aca="false">B84*H84</f>
        <v>16</v>
      </c>
    </row>
    <row r="85" customFormat="false" ht="12.75" hidden="false" customHeight="false" outlineLevel="0" collapsed="false">
      <c r="A85" s="111"/>
      <c r="B85" s="110" t="n">
        <v>1</v>
      </c>
      <c r="C85" s="60" t="n">
        <v>1</v>
      </c>
      <c r="D85" s="60" t="s">
        <v>69</v>
      </c>
      <c r="E85" s="31"/>
      <c r="F85" s="19"/>
      <c r="G85" s="32" t="n">
        <v>1</v>
      </c>
      <c r="H85" s="110" t="n">
        <v>14</v>
      </c>
      <c r="I85" s="110" t="n">
        <f aca="false">B85*H85</f>
        <v>14</v>
      </c>
    </row>
    <row r="86" customFormat="false" ht="12.75" hidden="false" customHeight="false" outlineLevel="0" collapsed="false">
      <c r="A86" s="111"/>
      <c r="B86" s="106" t="n">
        <v>3</v>
      </c>
      <c r="C86" s="64" t="n">
        <v>3</v>
      </c>
      <c r="D86" s="64" t="s">
        <v>74</v>
      </c>
      <c r="E86" s="37"/>
      <c r="F86" s="7"/>
      <c r="G86" s="38" t="n">
        <v>3</v>
      </c>
      <c r="H86" s="106" t="n">
        <v>16</v>
      </c>
      <c r="I86" s="106" t="n">
        <f aca="false">B86*H86</f>
        <v>48</v>
      </c>
    </row>
    <row r="87" customFormat="false" ht="12.75" hidden="false" customHeight="false" outlineLevel="0" collapsed="false">
      <c r="A87" s="112" t="s">
        <v>191</v>
      </c>
      <c r="B87" s="110" t="n">
        <v>2</v>
      </c>
      <c r="C87" s="33" t="n">
        <v>1</v>
      </c>
      <c r="D87" s="104" t="s">
        <v>93</v>
      </c>
      <c r="E87" s="131" t="n">
        <v>1</v>
      </c>
      <c r="F87" s="4"/>
      <c r="G87" s="25"/>
      <c r="H87" s="110" t="n">
        <v>3</v>
      </c>
      <c r="I87" s="110" t="n">
        <f aca="false">B87*H87</f>
        <v>6</v>
      </c>
    </row>
    <row r="88" customFormat="false" ht="13.5" hidden="false" customHeight="false" outlineLevel="0" collapsed="false">
      <c r="A88" s="113" t="s">
        <v>192</v>
      </c>
      <c r="B88" s="114" t="n">
        <v>7</v>
      </c>
      <c r="C88" s="115" t="n">
        <v>4</v>
      </c>
      <c r="D88" s="114" t="s">
        <v>101</v>
      </c>
      <c r="E88" s="133"/>
      <c r="F88" s="134" t="n">
        <v>4</v>
      </c>
      <c r="G88" s="135"/>
      <c r="H88" s="114" t="n">
        <v>4</v>
      </c>
      <c r="I88" s="114" t="n">
        <f aca="false">B88*H88</f>
        <v>28</v>
      </c>
    </row>
    <row r="89" customFormat="false" ht="13.5" hidden="false" customHeight="false" outlineLevel="0" collapsed="false">
      <c r="A89" s="116" t="s">
        <v>193</v>
      </c>
      <c r="B89" s="117" t="n">
        <f aca="false">SUM(B80:B88)</f>
        <v>69</v>
      </c>
      <c r="C89" s="117" t="n">
        <f aca="false">SUM(C80:C88)</f>
        <v>26</v>
      </c>
      <c r="D89" s="118" t="n">
        <v>8</v>
      </c>
      <c r="E89" s="117" t="n">
        <f aca="false">SUM(E80:E88)</f>
        <v>14</v>
      </c>
      <c r="F89" s="117" t="n">
        <f aca="false">SUM(F80:F88)</f>
        <v>8</v>
      </c>
      <c r="G89" s="117" t="n">
        <f aca="false">SUM(G80:G88)</f>
        <v>4</v>
      </c>
      <c r="H89" s="119"/>
      <c r="I89" s="120" t="n">
        <f aca="false">SUM(I80:I88)</f>
        <v>220</v>
      </c>
    </row>
    <row r="90" customFormat="false" ht="12.75" hidden="false" customHeight="false" outlineLevel="0" collapsed="false">
      <c r="A90" s="99"/>
      <c r="B90" s="121"/>
      <c r="C90" s="121"/>
      <c r="D90" s="20"/>
      <c r="E90" s="1"/>
      <c r="F90" s="1"/>
      <c r="G90" s="1"/>
      <c r="H90" s="121"/>
      <c r="I90" s="121"/>
    </row>
    <row r="91" customFormat="false" ht="12.75" hidden="false" customHeight="false" outlineLevel="0" collapsed="false">
      <c r="E91" s="1"/>
      <c r="F91" s="1"/>
      <c r="G91" s="1"/>
    </row>
    <row r="92" customFormat="false" ht="12.75" hidden="false" customHeight="false" outlineLevel="0" collapsed="false">
      <c r="A92" s="122" t="s">
        <v>194</v>
      </c>
      <c r="B92" s="108" t="n">
        <v>1</v>
      </c>
      <c r="C92" s="108" t="n">
        <v>1</v>
      </c>
      <c r="D92" s="108" t="s">
        <v>195</v>
      </c>
      <c r="E92" s="24"/>
      <c r="F92" s="4" t="n">
        <v>1</v>
      </c>
      <c r="G92" s="25"/>
      <c r="H92" s="108" t="n">
        <v>6</v>
      </c>
      <c r="I92" s="108" t="n">
        <f aca="false">B92*H92</f>
        <v>6</v>
      </c>
    </row>
    <row r="93" customFormat="false" ht="13.5" hidden="false" customHeight="false" outlineLevel="0" collapsed="false">
      <c r="A93" s="123"/>
      <c r="B93" s="124" t="n">
        <v>1</v>
      </c>
      <c r="C93" s="124" t="n">
        <v>1</v>
      </c>
      <c r="D93" s="124" t="s">
        <v>176</v>
      </c>
      <c r="E93" s="31"/>
      <c r="F93" s="19" t="n">
        <v>1</v>
      </c>
      <c r="G93" s="32"/>
      <c r="H93" s="124" t="n">
        <v>2</v>
      </c>
      <c r="I93" s="124" t="n">
        <f aca="false">B93*H93</f>
        <v>2</v>
      </c>
    </row>
    <row r="94" customFormat="false" ht="14.25" hidden="false" customHeight="false" outlineLevel="0" collapsed="false">
      <c r="A94" s="123"/>
      <c r="B94" s="124" t="n">
        <v>1</v>
      </c>
      <c r="C94" s="124" t="n">
        <v>1</v>
      </c>
      <c r="D94" s="124" t="s">
        <v>176</v>
      </c>
      <c r="E94" s="37"/>
      <c r="F94" s="7" t="n">
        <v>1</v>
      </c>
      <c r="G94" s="38"/>
      <c r="H94" s="124" t="n">
        <v>2</v>
      </c>
      <c r="I94" s="124" t="n">
        <f aca="false">B94*H94</f>
        <v>2</v>
      </c>
    </row>
    <row r="95" customFormat="false" ht="13.5" hidden="false" customHeight="false" outlineLevel="0" collapsed="false">
      <c r="A95" s="6" t="s">
        <v>193</v>
      </c>
      <c r="B95" s="119" t="n">
        <f aca="false">SUM(B92:B94)</f>
        <v>3</v>
      </c>
      <c r="C95" s="119" t="n">
        <f aca="false">SUM(C92:C94)</f>
        <v>3</v>
      </c>
      <c r="D95" s="119" t="n">
        <v>2</v>
      </c>
      <c r="E95" s="117" t="n">
        <f aca="false">SUM(E92:E94)</f>
        <v>0</v>
      </c>
      <c r="F95" s="117" t="n">
        <f aca="false">SUM(F92:F94)</f>
        <v>3</v>
      </c>
      <c r="G95" s="117" t="n">
        <f aca="false">SUM(G92:G94)</f>
        <v>0</v>
      </c>
      <c r="H95" s="119"/>
      <c r="I95" s="119" t="n">
        <f aca="false">SUM(I92:I94)</f>
        <v>10</v>
      </c>
    </row>
    <row r="97" customFormat="false" ht="12.75" hidden="false" customHeight="false" outlineLevel="0" collapsed="false">
      <c r="A97" s="0" t="s">
        <v>199</v>
      </c>
      <c r="E97" s="0" t="n">
        <v>25</v>
      </c>
      <c r="F97" s="75" t="n">
        <v>12</v>
      </c>
      <c r="G97" s="0" t="n">
        <v>5</v>
      </c>
    </row>
    <row r="98" customFormat="false" ht="12.75" hidden="false" customHeight="false" outlineLevel="0" collapsed="false">
      <c r="E98" s="0" t="n">
        <v>20</v>
      </c>
      <c r="F98" s="75" t="n">
        <v>14</v>
      </c>
      <c r="G98" s="0" t="n">
        <v>6</v>
      </c>
    </row>
  </sheetData>
  <mergeCells count="1">
    <mergeCell ref="S25:S32"/>
  </mergeCells>
  <hyperlinks>
    <hyperlink ref="I17" r:id="rId1" display="2342417RL"/>
    <hyperlink ref="I18" r:id="rId2" display="2499894RL"/>
    <hyperlink ref="J37" r:id="rId3" display="Reichelt SP+2000+SW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8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LibreOffice/5.3.1.2$Windows_X86_64 LibreOffice_project/e80a0e0fd1875e1696614d24c32df0f95f03deb2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2016-12-06T11:20:41Z</dcterms:created>
  <dc:creator>Gisler, Philipp</dc:creator>
  <dc:description/>
  <dc:language>de-CH</dc:language>
  <cp:lastModifiedBy/>
  <cp:lastPrinted>2017-01-09T11:41:35Z</cp:lastPrinted>
  <dcterms:modified xsi:type="dcterms:W3CDTF">2017-05-05T07:51:14Z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
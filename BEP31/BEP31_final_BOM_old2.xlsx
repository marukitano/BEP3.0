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hilipp\marulabs\Layout_Eagle\BEP31\"/>
    </mc:Choice>
  </mc:AlternateContent>
  <bookViews>
    <workbookView xWindow="120" yWindow="120" windowWidth="28515" windowHeight="15075"/>
  </bookViews>
  <sheets>
    <sheet name="BEP31_final_BOM" sheetId="1" r:id="rId1"/>
  </sheets>
  <calcPr calcId="152511"/>
</workbook>
</file>

<file path=xl/calcChain.xml><?xml version="1.0" encoding="utf-8"?>
<calcChain xmlns="http://schemas.openxmlformats.org/spreadsheetml/2006/main">
  <c r="G95" i="1" l="1"/>
  <c r="F95" i="1"/>
  <c r="E95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8" i="1"/>
  <c r="K53" i="1" l="1"/>
  <c r="K37" i="1"/>
  <c r="K39" i="1" s="1"/>
  <c r="K44" i="1" l="1"/>
  <c r="K43" i="1"/>
  <c r="K42" i="1"/>
  <c r="K33" i="1"/>
  <c r="K26" i="1"/>
  <c r="K27" i="1"/>
  <c r="K28" i="1"/>
  <c r="K29" i="1"/>
  <c r="K30" i="1"/>
  <c r="K31" i="1"/>
  <c r="K32" i="1"/>
  <c r="K25" i="1"/>
  <c r="K12" i="1"/>
  <c r="K14" i="1"/>
  <c r="K11" i="1"/>
  <c r="K10" i="1"/>
  <c r="K9" i="1"/>
  <c r="K47" i="1" l="1"/>
  <c r="K34" i="1"/>
  <c r="G89" i="1"/>
  <c r="F89" i="1"/>
  <c r="E89" i="1"/>
  <c r="C95" i="1"/>
  <c r="B95" i="1"/>
  <c r="I94" i="1"/>
  <c r="I93" i="1"/>
  <c r="I92" i="1"/>
  <c r="C89" i="1"/>
  <c r="B89" i="1"/>
  <c r="I88" i="1"/>
  <c r="I87" i="1"/>
  <c r="I86" i="1"/>
  <c r="I85" i="1"/>
  <c r="I84" i="1"/>
  <c r="I83" i="1"/>
  <c r="I82" i="1"/>
  <c r="I81" i="1"/>
  <c r="I80" i="1"/>
  <c r="K55" i="1" l="1"/>
  <c r="I89" i="1"/>
  <c r="I95" i="1"/>
  <c r="F72" i="1"/>
  <c r="F61" i="1"/>
  <c r="C74" i="1"/>
  <c r="C68" i="1"/>
  <c r="B74" i="1" l="1"/>
  <c r="F66" i="1"/>
  <c r="B68" i="1"/>
  <c r="F73" i="1"/>
  <c r="F71" i="1"/>
  <c r="F60" i="1"/>
  <c r="F62" i="1"/>
  <c r="F63" i="1"/>
  <c r="F64" i="1"/>
  <c r="F65" i="1"/>
  <c r="F67" i="1"/>
  <c r="F59" i="1"/>
  <c r="F74" i="1" l="1"/>
  <c r="F68" i="1"/>
</calcChain>
</file>

<file path=xl/sharedStrings.xml><?xml version="1.0" encoding="utf-8"?>
<sst xmlns="http://schemas.openxmlformats.org/spreadsheetml/2006/main" count="279" uniqueCount="194">
  <si>
    <t>Qty</t>
  </si>
  <si>
    <t>Value</t>
  </si>
  <si>
    <t>Device</t>
  </si>
  <si>
    <t>Package</t>
  </si>
  <si>
    <t>Parts</t>
  </si>
  <si>
    <t>Description</t>
  </si>
  <si>
    <t>PNP-TRANSISTOR_SOT89</t>
  </si>
  <si>
    <t>SOT89</t>
  </si>
  <si>
    <t>Q1, Q2, Q7, Q8</t>
  </si>
  <si>
    <t>R0805</t>
  </si>
  <si>
    <t>R2, R5, R16, R19, R42</t>
  </si>
  <si>
    <t>100nF</t>
  </si>
  <si>
    <t>CERAMIC-100NF-50V-10%-X7R(0805)</t>
  </si>
  <si>
    <t>C0805</t>
  </si>
  <si>
    <t>C4, C5, C7, C9, C10, C11</t>
  </si>
  <si>
    <t>100u</t>
  </si>
  <si>
    <t>CERAMIC-100UF-6.3V-20%-X5R(1206)</t>
  </si>
  <si>
    <t>C1206</t>
  </si>
  <si>
    <t>C2, C3</t>
  </si>
  <si>
    <t>R13, R38, R43, R45, R46</t>
  </si>
  <si>
    <t>R10, R12, R22, R24, R29, R30, R31</t>
  </si>
  <si>
    <t>R1206</t>
  </si>
  <si>
    <t>R18, R20, R21</t>
  </si>
  <si>
    <t>13R</t>
  </si>
  <si>
    <t>R6, R15</t>
  </si>
  <si>
    <t>1N4007</t>
  </si>
  <si>
    <t>DIODE-GEN-PURPOSE-1KV-1A(DO-214AC)</t>
  </si>
  <si>
    <t>DO-214AC</t>
  </si>
  <si>
    <t>D1, D3, D8, D10, D11, D15</t>
  </si>
  <si>
    <t>D2, D12, D13, D14</t>
  </si>
  <si>
    <t>2.2nF</t>
  </si>
  <si>
    <t>C1</t>
  </si>
  <si>
    <t>R17, R23</t>
  </si>
  <si>
    <t>4.7u</t>
  </si>
  <si>
    <t>CERAMIC-4.7UF-25V-10%-X5R(0805)</t>
  </si>
  <si>
    <t>C8</t>
  </si>
  <si>
    <t>4028D</t>
  </si>
  <si>
    <t>SO16</t>
  </si>
  <si>
    <t>IC3</t>
  </si>
  <si>
    <t>BCD to decimal DECODER</t>
  </si>
  <si>
    <t>4538D</t>
  </si>
  <si>
    <t>IC8</t>
  </si>
  <si>
    <t>R1, R9, R32</t>
  </si>
  <si>
    <t>NE555D</t>
  </si>
  <si>
    <t>SO08</t>
  </si>
  <si>
    <t>IC5</t>
  </si>
  <si>
    <t>TIMER</t>
  </si>
  <si>
    <t>6V pos</t>
  </si>
  <si>
    <t>IC1</t>
  </si>
  <si>
    <t>VOLTAGE REGULATOR</t>
  </si>
  <si>
    <t>SMD-MOSFET-N-CH-50V-200MA-BSS138W-7-F(SOT-23)</t>
  </si>
  <si>
    <t>SOT-23</t>
  </si>
  <si>
    <t>Q10, Q11</t>
  </si>
  <si>
    <t>BSS138W-7-F</t>
  </si>
  <si>
    <t>LM2904</t>
  </si>
  <si>
    <t>IC10</t>
  </si>
  <si>
    <t>OP AMP also LM158; LM258; LM2904</t>
  </si>
  <si>
    <t>LM339</t>
  </si>
  <si>
    <t>LM339D</t>
  </si>
  <si>
    <t>SO14</t>
  </si>
  <si>
    <t>IC7</t>
  </si>
  <si>
    <t>MY</t>
  </si>
  <si>
    <t>NPN-TRANSISTOR_SOT89</t>
  </si>
  <si>
    <t>Q9</t>
  </si>
  <si>
    <t>NUP4304SOT457_R</t>
  </si>
  <si>
    <t>SOT457R_PHILIPS</t>
  </si>
  <si>
    <t>U$3</t>
  </si>
  <si>
    <t>SM6T</t>
  </si>
  <si>
    <t>DO214AA</t>
  </si>
  <si>
    <t>D4</t>
  </si>
  <si>
    <t>Z DIODE</t>
  </si>
  <si>
    <t>ULN2004</t>
  </si>
  <si>
    <t>ULN2004AD</t>
  </si>
  <si>
    <t>IC6</t>
  </si>
  <si>
    <t>DRIVER ARRAY</t>
  </si>
  <si>
    <t>IC2</t>
  </si>
  <si>
    <t>10V pos</t>
  </si>
  <si>
    <t>78L10</t>
  </si>
  <si>
    <t>78L06</t>
  </si>
  <si>
    <t>Total count</t>
  </si>
  <si>
    <t>Resistors</t>
  </si>
  <si>
    <t>Diodes</t>
  </si>
  <si>
    <t>IC</t>
  </si>
  <si>
    <t>Transistors</t>
  </si>
  <si>
    <t>optional</t>
  </si>
  <si>
    <t>SOT457</t>
  </si>
  <si>
    <t>Anzahl Pads/Bauteil</t>
  </si>
  <si>
    <t>totale Anzahl Pads</t>
  </si>
  <si>
    <t>Anzahl Bauteile</t>
  </si>
  <si>
    <t>Board:</t>
  </si>
  <si>
    <t>Stückzahl</t>
  </si>
  <si>
    <t>500 und 1000</t>
  </si>
  <si>
    <t>BA</t>
  </si>
  <si>
    <t>Schottky Diode</t>
  </si>
  <si>
    <t>R8, R25, R44,R33,R34</t>
  </si>
  <si>
    <t>R3,R7</t>
  </si>
  <si>
    <t>&amp; Regler</t>
  </si>
  <si>
    <t>Kond</t>
  </si>
  <si>
    <t>0805/1206</t>
  </si>
  <si>
    <t>D5</t>
  </si>
  <si>
    <t>10k</t>
  </si>
  <si>
    <t>1k</t>
  </si>
  <si>
    <t>100k</t>
  </si>
  <si>
    <t>15k</t>
  </si>
  <si>
    <t>2k2</t>
  </si>
  <si>
    <t>27k</t>
  </si>
  <si>
    <t>4k7</t>
  </si>
  <si>
    <t>1N5817</t>
  </si>
  <si>
    <t>Dimensionen:</t>
  </si>
  <si>
    <t>BOM:</t>
  </si>
  <si>
    <t>10R</t>
  </si>
  <si>
    <t>96mmx50mm. FR4 1.6mm, HASL verzinnt (lead free)</t>
  </si>
  <si>
    <t>Anzahl unterschiedliche Werte</t>
  </si>
  <si>
    <t>Low Power Quad Comparators</t>
  </si>
  <si>
    <t>Dual  monostable MULTIVIBRATOR</t>
  </si>
  <si>
    <t>Farnell</t>
  </si>
  <si>
    <t>2342417RL</t>
  </si>
  <si>
    <t>Aliexpress</t>
  </si>
  <si>
    <t>0.03</t>
  </si>
  <si>
    <t>0.01</t>
  </si>
  <si>
    <t>ja</t>
  </si>
  <si>
    <t>nein</t>
  </si>
  <si>
    <t>0.04</t>
  </si>
  <si>
    <t>0.02</t>
  </si>
  <si>
    <t>0.14</t>
  </si>
  <si>
    <t>0.022</t>
  </si>
  <si>
    <t>NPN TRANSISTOR 2SC2873 2A 50V</t>
  </si>
  <si>
    <t>PNP TRANSISTOR 2SB1132 1A 32V</t>
  </si>
  <si>
    <t>Optionale Teile (ev. für EMV Verträglichkeit notwendig)</t>
  </si>
  <si>
    <t>THT Bauteile auf vorderseite (wird voraussichtlich von Marulabs bestückt)</t>
  </si>
  <si>
    <t>BOM Zusammenfassung (nur SMD Komponenten):</t>
  </si>
  <si>
    <t>LM317</t>
  </si>
  <si>
    <t>TO220</t>
  </si>
  <si>
    <t>Spannungsregler</t>
  </si>
  <si>
    <t>BMW Pfostenstecker</t>
  </si>
  <si>
    <t>3.96mm Pitch 12P</t>
  </si>
  <si>
    <t xml:space="preserve"> L8.5*W3.5MM 3P 2T mini toggle</t>
  </si>
  <si>
    <t>ON/OFF Umschalter</t>
  </si>
  <si>
    <t>WAGO 2081-1132</t>
  </si>
  <si>
    <t>2W Leistungswiderstand bedrahtet</t>
  </si>
  <si>
    <t>Wago Klemmleiste</t>
  </si>
  <si>
    <t>Wago Schweiz</t>
  </si>
  <si>
    <t>?</t>
  </si>
  <si>
    <t>Gehäuse</t>
  </si>
  <si>
    <t>Reichelt SP+2000+SW</t>
  </si>
  <si>
    <t>Zwischentotal:</t>
  </si>
  <si>
    <t xml:space="preserve"> Gehäuse und Platine</t>
  </si>
  <si>
    <t>Platine</t>
  </si>
  <si>
    <t>Seedstudio</t>
  </si>
  <si>
    <t>Total:</t>
  </si>
  <si>
    <t>SMD Bauteile auf Rückseite:</t>
  </si>
  <si>
    <t>Bemerkung</t>
  </si>
  <si>
    <r>
      <rPr>
        <sz val="10"/>
        <color theme="1"/>
        <rFont val="Calibri"/>
        <family val="2"/>
      </rPr>
      <t>≥</t>
    </r>
    <r>
      <rPr>
        <sz val="10"/>
        <color theme="1"/>
        <rFont val="Arial"/>
        <family val="2"/>
      </rPr>
      <t>20V</t>
    </r>
  </si>
  <si>
    <t>ev. 0603</t>
  </si>
  <si>
    <r>
      <rPr>
        <sz val="10"/>
        <color theme="1"/>
        <rFont val="Calibri"/>
        <family val="2"/>
      </rPr>
      <t>≥</t>
    </r>
    <r>
      <rPr>
        <sz val="10"/>
        <color theme="1"/>
        <rFont val="Arial"/>
        <family val="2"/>
      </rPr>
      <t>50V</t>
    </r>
  </si>
  <si>
    <r>
      <rPr>
        <sz val="10"/>
        <color theme="1"/>
        <rFont val="Calibri"/>
        <family val="2"/>
      </rPr>
      <t>≥</t>
    </r>
    <r>
      <rPr>
        <sz val="10"/>
        <color theme="1"/>
        <rFont val="Arial"/>
        <family val="2"/>
      </rPr>
      <t>16V</t>
    </r>
  </si>
  <si>
    <r>
      <rPr>
        <sz val="10"/>
        <color theme="1"/>
        <rFont val="Calibri"/>
        <family val="2"/>
      </rPr>
      <t>≥</t>
    </r>
    <r>
      <rPr>
        <sz val="10"/>
        <color theme="1"/>
        <rFont val="Arial"/>
        <family val="2"/>
      </rPr>
      <t>6V</t>
    </r>
  </si>
  <si>
    <t>ev. 0805</t>
  </si>
  <si>
    <r>
      <rPr>
        <sz val="10"/>
        <color theme="1"/>
        <rFont val="Calibri"/>
        <family val="2"/>
      </rPr>
      <t>≥</t>
    </r>
    <r>
      <rPr>
        <sz val="10"/>
        <color theme="1"/>
        <rFont val="Arial"/>
        <family val="2"/>
      </rPr>
      <t>1A,≥20V</t>
    </r>
  </si>
  <si>
    <t>Alternativ LM358/258/158</t>
  </si>
  <si>
    <t>Alternativ LM2901,LM239/139</t>
  </si>
  <si>
    <r>
      <t>RDS&lt;6</t>
    </r>
    <r>
      <rPr>
        <sz val="10"/>
        <color theme="1"/>
        <rFont val="Calibri"/>
        <family val="2"/>
      </rPr>
      <t>Ω</t>
    </r>
  </si>
  <si>
    <r>
      <rPr>
        <sz val="10"/>
        <color theme="1"/>
        <rFont val="Calibri"/>
        <family val="2"/>
      </rPr>
      <t>≥</t>
    </r>
    <r>
      <rPr>
        <sz val="10"/>
        <color theme="1"/>
        <rFont val="Arial"/>
        <family val="2"/>
      </rPr>
      <t>500mA,≥20V</t>
    </r>
  </si>
  <si>
    <t>Stock Marulabs</t>
  </si>
  <si>
    <t>ca. 1900</t>
  </si>
  <si>
    <t>ja(Rolle=2000)</t>
  </si>
  <si>
    <t>nein(Rolle=1000)</t>
  </si>
  <si>
    <t>Flussspannung muss &lt;0.25V sein bei  0.19mA Strom</t>
  </si>
  <si>
    <t>Preis/Stück in US$</t>
  </si>
  <si>
    <t>8mm Reel</t>
  </si>
  <si>
    <t>12mm Reel</t>
  </si>
  <si>
    <t>16mm Reel</t>
  </si>
  <si>
    <t>bei Stück-zahl</t>
  </si>
  <si>
    <t>Bedarf  f.500 Prints</t>
  </si>
  <si>
    <t>500 Freihand</t>
  </si>
  <si>
    <t>nein(Rolle=3000)</t>
  </si>
  <si>
    <r>
      <rPr>
        <sz val="10"/>
        <color theme="1"/>
        <rFont val="Calibri"/>
        <family val="2"/>
      </rPr>
      <t>≥</t>
    </r>
    <r>
      <rPr>
        <sz val="10"/>
        <color theme="1"/>
        <rFont val="Arial"/>
        <family val="2"/>
      </rPr>
      <t>1A,≥20V,HFE&gt;100 bei 500mA</t>
    </r>
  </si>
  <si>
    <t>alternativ anderer SOT89 N Mosfet (Kleinsignal)</t>
  </si>
  <si>
    <t>auf Rolle bei Marulabs vorhanden</t>
  </si>
  <si>
    <t>vorhande 500 Teile könnten wir auf leere Rolle spannen</t>
  </si>
  <si>
    <r>
      <rPr>
        <sz val="10"/>
        <color theme="1"/>
        <rFont val="Calibri"/>
        <family val="2"/>
      </rPr>
      <t>≥</t>
    </r>
    <r>
      <rPr>
        <sz val="10"/>
        <color theme="1"/>
        <rFont val="Arial"/>
        <family val="2"/>
      </rPr>
      <t>1A,≥100V</t>
    </r>
  </si>
  <si>
    <t>nein(Rolle=2500?)</t>
  </si>
  <si>
    <t>nein(Rolle=?)</t>
  </si>
  <si>
    <t>CD4028BM</t>
  </si>
  <si>
    <t>CD14538BM  alternativ</t>
  </si>
  <si>
    <t>BSS-138</t>
  </si>
  <si>
    <t>ja(Rolle=1000)</t>
  </si>
  <si>
    <t>durch Zollner Standard 0603 ersetzen ausser zwei 1kOhm Widerständen (144mW Last ist zuviel für 0603)</t>
  </si>
  <si>
    <t>ev 0805 jedoch besser 1206 (therm. Last ist 120mW und krit. Bauteil)</t>
  </si>
  <si>
    <t>Exot! Ersatz muss gefunden werden oder wir kaufen mehr bei Aliexpress</t>
  </si>
  <si>
    <t>Exot! Ersatz muss gefunden werden oder wir kaufen mehr bei Aliexpress. SOT89 N Mosfet wäre auch möglich</t>
  </si>
  <si>
    <t>techn. Anforderung für Alternative</t>
  </si>
  <si>
    <t>&gt;120mW</t>
  </si>
  <si>
    <t>&gt;144mW (2 Stück)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</si>
</sst>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b/>
      <u/>
      <sz val="10"/>
      <color theme="1"/>
      <name val="Arial"/>
      <family val="2"/>
    </font>
    <font>
      <u/>
      <sz val="10"/>
      <color theme="10"/>
      <name val="Arial"/>
      <family val="2"/>
    </font>
    <font>
      <sz val="10"/>
      <color theme="1"/>
      <name val="Calibri"/>
      <family val="2"/>
    </font>
    <font>
      <sz val="10"/>
      <color rgb="FF00B05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107">
    <xf numFmtId="0" fontId="0" fillId="0" borderId="0" xfId="0"/>
    <xf numFmtId="0" fontId="16" fillId="0" borderId="0" xfId="0" applyFont="1"/>
    <xf numFmtId="0" fontId="0" fillId="0" borderId="0" xfId="0" applyAlignment="1">
      <alignment horizontal="left"/>
    </xf>
    <xf numFmtId="0" fontId="16" fillId="0" borderId="10" xfId="0" applyFont="1" applyBorder="1"/>
    <xf numFmtId="0" fontId="0" fillId="0" borderId="0" xfId="0" applyBorder="1"/>
    <xf numFmtId="0" fontId="0" fillId="0" borderId="13" xfId="0" applyBorder="1"/>
    <xf numFmtId="0" fontId="0" fillId="0" borderId="11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18" xfId="0" applyBorder="1"/>
    <xf numFmtId="0" fontId="0" fillId="0" borderId="15" xfId="0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0" fontId="0" fillId="0" borderId="16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16" fillId="0" borderId="10" xfId="0" applyFont="1" applyBorder="1" applyAlignment="1"/>
    <xf numFmtId="0" fontId="16" fillId="0" borderId="15" xfId="0" applyFont="1" applyBorder="1"/>
    <xf numFmtId="0" fontId="16" fillId="0" borderId="11" xfId="0" applyFont="1" applyBorder="1"/>
    <xf numFmtId="0" fontId="0" fillId="0" borderId="17" xfId="0" applyFill="1" applyBorder="1" applyAlignment="1">
      <alignment horizontal="left" vertical="top"/>
    </xf>
    <xf numFmtId="0" fontId="0" fillId="0" borderId="18" xfId="0" applyBorder="1" applyAlignment="1">
      <alignment horizontal="left" vertical="top"/>
    </xf>
    <xf numFmtId="0" fontId="16" fillId="0" borderId="14" xfId="0" applyFont="1" applyBorder="1" applyAlignment="1"/>
    <xf numFmtId="0" fontId="16" fillId="0" borderId="13" xfId="0" applyFont="1" applyBorder="1"/>
    <xf numFmtId="0" fontId="16" fillId="0" borderId="14" xfId="0" applyFont="1" applyBorder="1"/>
    <xf numFmtId="0" fontId="16" fillId="0" borderId="12" xfId="0" applyFont="1" applyBorder="1"/>
    <xf numFmtId="0" fontId="16" fillId="0" borderId="19" xfId="0" applyFont="1" applyBorder="1"/>
    <xf numFmtId="0" fontId="0" fillId="0" borderId="19" xfId="0" applyBorder="1" applyAlignment="1">
      <alignment horizontal="left" vertical="top"/>
    </xf>
    <xf numFmtId="0" fontId="0" fillId="0" borderId="20" xfId="0" applyBorder="1" applyAlignment="1">
      <alignment horizontal="left" vertical="top"/>
    </xf>
    <xf numFmtId="0" fontId="16" fillId="0" borderId="0" xfId="0" applyFont="1" applyBorder="1"/>
    <xf numFmtId="0" fontId="0" fillId="0" borderId="0" xfId="0" applyFill="1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11" xfId="0" applyBorder="1"/>
    <xf numFmtId="0" fontId="0" fillId="0" borderId="21" xfId="0" applyBorder="1" applyAlignment="1">
      <alignment horizontal="left"/>
    </xf>
    <xf numFmtId="0" fontId="0" fillId="0" borderId="21" xfId="0" applyBorder="1"/>
    <xf numFmtId="0" fontId="0" fillId="0" borderId="22" xfId="0" applyBorder="1"/>
    <xf numFmtId="0" fontId="0" fillId="0" borderId="12" xfId="0" applyBorder="1"/>
    <xf numFmtId="0" fontId="0" fillId="0" borderId="0" xfId="0" applyBorder="1" applyAlignment="1">
      <alignment horizontal="left"/>
    </xf>
    <xf numFmtId="0" fontId="0" fillId="0" borderId="23" xfId="0" applyBorder="1"/>
    <xf numFmtId="0" fontId="0" fillId="0" borderId="24" xfId="0" applyBorder="1" applyAlignment="1">
      <alignment horizontal="left"/>
    </xf>
    <xf numFmtId="0" fontId="0" fillId="0" borderId="24" xfId="0" applyBorder="1"/>
    <xf numFmtId="0" fontId="0" fillId="0" borderId="25" xfId="0" applyBorder="1"/>
    <xf numFmtId="0" fontId="0" fillId="0" borderId="0" xfId="0" applyFill="1" applyBorder="1" applyAlignment="1">
      <alignment horizontal="left"/>
    </xf>
    <xf numFmtId="0" fontId="18" fillId="0" borderId="0" xfId="0" applyFont="1"/>
    <xf numFmtId="0" fontId="18" fillId="0" borderId="0" xfId="0" applyFont="1" applyFill="1" applyBorder="1"/>
    <xf numFmtId="0" fontId="16" fillId="33" borderId="13" xfId="0" applyFont="1" applyFill="1" applyBorder="1"/>
    <xf numFmtId="0" fontId="0" fillId="33" borderId="17" xfId="0" applyFill="1" applyBorder="1" applyAlignment="1">
      <alignment horizontal="left" vertical="top"/>
    </xf>
    <xf numFmtId="0" fontId="16" fillId="33" borderId="17" xfId="0" applyFont="1" applyFill="1" applyBorder="1" applyAlignment="1">
      <alignment horizontal="left" vertical="top"/>
    </xf>
    <xf numFmtId="0" fontId="0" fillId="33" borderId="13" xfId="0" applyFill="1" applyBorder="1" applyAlignment="1">
      <alignment horizontal="left"/>
    </xf>
    <xf numFmtId="0" fontId="0" fillId="0" borderId="12" xfId="0" applyFill="1" applyBorder="1" applyAlignment="1">
      <alignment horizontal="left" vertical="top"/>
    </xf>
    <xf numFmtId="0" fontId="0" fillId="0" borderId="16" xfId="0" applyBorder="1"/>
    <xf numFmtId="0" fontId="19" fillId="0" borderId="16" xfId="42" applyBorder="1"/>
    <xf numFmtId="0" fontId="16" fillId="0" borderId="10" xfId="0" applyFont="1" applyFill="1" applyBorder="1" applyAlignment="1"/>
    <xf numFmtId="0" fontId="0" fillId="0" borderId="11" xfId="0" applyBorder="1" applyAlignment="1">
      <alignment horizontal="left"/>
    </xf>
    <xf numFmtId="0" fontId="0" fillId="0" borderId="2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25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26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23" xfId="0" applyBorder="1" applyAlignment="1">
      <alignment horizontal="left"/>
    </xf>
    <xf numFmtId="0" fontId="0" fillId="0" borderId="28" xfId="0" applyBorder="1" applyAlignment="1">
      <alignment horizontal="left"/>
    </xf>
    <xf numFmtId="0" fontId="0" fillId="0" borderId="29" xfId="0" applyBorder="1" applyAlignment="1">
      <alignment horizontal="left"/>
    </xf>
    <xf numFmtId="0" fontId="19" fillId="0" borderId="0" xfId="42" applyBorder="1"/>
    <xf numFmtId="0" fontId="19" fillId="0" borderId="21" xfId="42" applyBorder="1"/>
    <xf numFmtId="0" fontId="0" fillId="0" borderId="31" xfId="0" applyBorder="1" applyAlignment="1">
      <alignment horizontal="left"/>
    </xf>
    <xf numFmtId="0" fontId="0" fillId="0" borderId="31" xfId="0" applyBorder="1"/>
    <xf numFmtId="0" fontId="19" fillId="0" borderId="31" xfId="42" applyBorder="1"/>
    <xf numFmtId="0" fontId="16" fillId="34" borderId="30" xfId="0" applyFont="1" applyFill="1" applyBorder="1"/>
    <xf numFmtId="0" fontId="16" fillId="33" borderId="30" xfId="0" applyFont="1" applyFill="1" applyBorder="1"/>
    <xf numFmtId="0" fontId="0" fillId="34" borderId="31" xfId="0" applyFill="1" applyBorder="1" applyAlignment="1">
      <alignment horizontal="left"/>
    </xf>
    <xf numFmtId="0" fontId="0" fillId="0" borderId="32" xfId="0" applyBorder="1" applyAlignment="1">
      <alignment horizontal="left"/>
    </xf>
    <xf numFmtId="0" fontId="0" fillId="33" borderId="31" xfId="0" applyFill="1" applyBorder="1" applyAlignment="1">
      <alignment horizontal="left"/>
    </xf>
    <xf numFmtId="0" fontId="0" fillId="0" borderId="15" xfId="0" applyBorder="1"/>
    <xf numFmtId="0" fontId="0" fillId="0" borderId="17" xfId="0" applyBorder="1"/>
    <xf numFmtId="0" fontId="0" fillId="0" borderId="21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0" fillId="0" borderId="17" xfId="0" applyFill="1" applyBorder="1" applyAlignment="1">
      <alignment horizontal="left"/>
    </xf>
    <xf numFmtId="0" fontId="0" fillId="0" borderId="33" xfId="0" applyBorder="1"/>
    <xf numFmtId="0" fontId="0" fillId="34" borderId="33" xfId="0" applyFill="1" applyBorder="1" applyAlignment="1">
      <alignment horizontal="left"/>
    </xf>
    <xf numFmtId="0" fontId="0" fillId="0" borderId="33" xfId="0" applyBorder="1" applyAlignment="1">
      <alignment horizontal="left"/>
    </xf>
    <xf numFmtId="0" fontId="0" fillId="0" borderId="34" xfId="0" applyBorder="1" applyAlignment="1">
      <alignment horizontal="left"/>
    </xf>
    <xf numFmtId="0" fontId="0" fillId="33" borderId="21" xfId="0" applyFill="1" applyBorder="1" applyAlignment="1">
      <alignment horizontal="left" vertical="top"/>
    </xf>
    <xf numFmtId="0" fontId="0" fillId="33" borderId="24" xfId="0" applyFill="1" applyBorder="1" applyAlignment="1">
      <alignment horizontal="left" vertical="top"/>
    </xf>
    <xf numFmtId="0" fontId="0" fillId="36" borderId="21" xfId="0" applyFill="1" applyBorder="1" applyAlignment="1">
      <alignment horizontal="left" vertical="top"/>
    </xf>
    <xf numFmtId="0" fontId="0" fillId="36" borderId="0" xfId="0" applyFill="1" applyBorder="1" applyAlignment="1">
      <alignment horizontal="left" vertical="top"/>
    </xf>
    <xf numFmtId="0" fontId="0" fillId="36" borderId="24" xfId="0" applyFill="1" applyBorder="1" applyAlignment="1">
      <alignment horizontal="left" vertical="top"/>
    </xf>
    <xf numFmtId="0" fontId="19" fillId="0" borderId="12" xfId="42" applyBorder="1"/>
    <xf numFmtId="0" fontId="19" fillId="0" borderId="13" xfId="42" applyBorder="1"/>
    <xf numFmtId="0" fontId="19" fillId="0" borderId="11" xfId="42" applyBorder="1"/>
    <xf numFmtId="0" fontId="16" fillId="0" borderId="26" xfId="0" applyFont="1" applyFill="1" applyBorder="1" applyAlignment="1">
      <alignment horizontal="left" vertical="top" wrapText="1"/>
    </xf>
    <xf numFmtId="0" fontId="16" fillId="0" borderId="26" xfId="0" applyFont="1" applyBorder="1" applyAlignment="1">
      <alignment horizontal="left" vertical="top" wrapText="1"/>
    </xf>
    <xf numFmtId="0" fontId="16" fillId="0" borderId="14" xfId="0" applyFont="1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16" fillId="0" borderId="10" xfId="0" applyFont="1" applyFill="1" applyBorder="1" applyAlignment="1">
      <alignment horizontal="left" vertical="top" wrapText="1"/>
    </xf>
    <xf numFmtId="0" fontId="16" fillId="0" borderId="14" xfId="0" applyFont="1" applyFill="1" applyBorder="1" applyAlignment="1">
      <alignment horizontal="left" vertical="top" wrapText="1"/>
    </xf>
    <xf numFmtId="0" fontId="16" fillId="0" borderId="27" xfId="0" applyFont="1" applyFill="1" applyBorder="1" applyAlignment="1">
      <alignment horizontal="left" vertical="top" wrapText="1"/>
    </xf>
    <xf numFmtId="0" fontId="0" fillId="35" borderId="0" xfId="0" applyFill="1" applyBorder="1" applyAlignment="1">
      <alignment horizontal="left" vertical="top"/>
    </xf>
    <xf numFmtId="0" fontId="0" fillId="0" borderId="25" xfId="0" applyFill="1" applyBorder="1" applyAlignment="1">
      <alignment horizontal="left"/>
    </xf>
    <xf numFmtId="0" fontId="0" fillId="33" borderId="21" xfId="0" applyFill="1" applyBorder="1" applyAlignment="1">
      <alignment horizontal="left"/>
    </xf>
    <xf numFmtId="0" fontId="0" fillId="33" borderId="0" xfId="0" applyFill="1" applyBorder="1" applyAlignment="1">
      <alignment horizontal="left"/>
    </xf>
    <xf numFmtId="0" fontId="0" fillId="33" borderId="24" xfId="0" applyFill="1" applyBorder="1" applyAlignment="1">
      <alignment horizontal="left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21" fillId="0" borderId="11" xfId="0" applyFont="1" applyBorder="1" applyAlignment="1">
      <alignment horizontal="left"/>
    </xf>
    <xf numFmtId="0" fontId="21" fillId="0" borderId="12" xfId="0" applyFont="1" applyFill="1" applyBorder="1" applyAlignment="1">
      <alignment horizontal="left" vertical="top"/>
    </xf>
    <xf numFmtId="0" fontId="21" fillId="0" borderId="20" xfId="0" applyFont="1" applyBorder="1" applyAlignment="1">
      <alignment horizontal="left"/>
    </xf>
    <xf numFmtId="0" fontId="21" fillId="0" borderId="21" xfId="0" applyFont="1" applyBorder="1" applyAlignment="1">
      <alignment horizontal="left"/>
    </xf>
  </cellXfs>
  <cellStyles count="43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Link" xfId="42" builtinId="8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ch.farnell.com/walsin/wr08x1001ftl/dicksch-widerstand-1k-1-150v-0805/dp/2498050" TargetMode="External"/><Relationship Id="rId13" Type="http://schemas.openxmlformats.org/officeDocument/2006/relationships/hyperlink" Target="https://www.aliexpress.com/item/500pcs-lot-in-stock-CJ78L10-78L10-10V-SOT-89/32714846870.html" TargetMode="External"/><Relationship Id="rId18" Type="http://schemas.openxmlformats.org/officeDocument/2006/relationships/hyperlink" Target="https://www.aliexpress.com/item/Free-shipping-0805-SMD-capacitor-4-7uf-50V-475Z-100PCS/32376068362.html" TargetMode="External"/><Relationship Id="rId26" Type="http://schemas.openxmlformats.org/officeDocument/2006/relationships/hyperlink" Target="https://www.aliexpress.com/item/Free-Shipping-50PCS-POWER-TRANSISTORS-LM317-LM317T-TO-220-ST/1246203110.html" TargetMode="External"/><Relationship Id="rId3" Type="http://schemas.openxmlformats.org/officeDocument/2006/relationships/hyperlink" Target="http://ch.farnell.com/webapp/wcs/stores/servlet/ProductDisplay?catalogId=15001&amp;langId=41&amp;urlRequestType=Base&amp;partNumber=2342417RL&amp;storeId=10178" TargetMode="External"/><Relationship Id="rId21" Type="http://schemas.openxmlformats.org/officeDocument/2006/relationships/hyperlink" Target="https://www.aliexpress.com/item/Free-shopping-1000-PCS-2SB1132-SOT-89-B1132-PNP-1A-32V/32390023505.html" TargetMode="External"/><Relationship Id="rId7" Type="http://schemas.openxmlformats.org/officeDocument/2006/relationships/hyperlink" Target="http://ch.farnell.com/walsin/wr08x1502ftl/dicksch-widerstand-15k-1-150v/dp/2498062" TargetMode="External"/><Relationship Id="rId12" Type="http://schemas.openxmlformats.org/officeDocument/2006/relationships/hyperlink" Target="https://www.aliexpress.com/item/Free-Shipping-1000PCS-SS12-1N5817-1A-20V-SMA-Schottky-diode/2024887597.html" TargetMode="External"/><Relationship Id="rId17" Type="http://schemas.openxmlformats.org/officeDocument/2006/relationships/hyperlink" Target="https://www.aliexpress.com/item/Free-shipping-0805-SMD-capacitor-2200P-2-2nf-50V-222K-100PCS/32375506423.html" TargetMode="External"/><Relationship Id="rId25" Type="http://schemas.openxmlformats.org/officeDocument/2006/relationships/hyperlink" Target="https://www.aliexpress.com/item/3000PCS-1N4007-M7-SMA-DO-214AC-1A-1000-V-SMD-Rectifler-diodos/32687291008.html" TargetMode="External"/><Relationship Id="rId2" Type="http://schemas.openxmlformats.org/officeDocument/2006/relationships/hyperlink" Target="http://ch.farnell.com/webapp/wcs/stores/servlet/ProductDisplay?catalogId=15001&amp;langId=41&amp;urlRequestType=Base&amp;partNumber=2498077&amp;storeId=10178" TargetMode="External"/><Relationship Id="rId16" Type="http://schemas.openxmlformats.org/officeDocument/2006/relationships/hyperlink" Target="https://www.aliexpress.com/item/2SC2873-Y-2SC2873-MY-SOT89-NPN-Transistor-IC-x-1000PCS/32590988708.html" TargetMode="External"/><Relationship Id="rId20" Type="http://schemas.openxmlformats.org/officeDocument/2006/relationships/hyperlink" Target="https://www.aliexpress.com/item/Free-Shipping-100PCS-LOT-Original-Integrated-circuit-ics-LM339-LM339DR/1245879199.html" TargetMode="External"/><Relationship Id="rId29" Type="http://schemas.openxmlformats.org/officeDocument/2006/relationships/hyperlink" Target="https://www.aliexpress.com/item/Free-shipping-1000PCS-L8-5-W3-5MM-3P-2T-mini-toggle-slide-switch-Handle-high-3mm/1800702995.html" TargetMode="External"/><Relationship Id="rId1" Type="http://schemas.openxmlformats.org/officeDocument/2006/relationships/hyperlink" Target="http://ch.farnell.com/webapp/wcs/stores/servlet/ProductDisplay?catalogId=15001&amp;langId=41&amp;urlRequestType=Base&amp;partNumber=2497996&amp;storeId=10178" TargetMode="External"/><Relationship Id="rId6" Type="http://schemas.openxmlformats.org/officeDocument/2006/relationships/hyperlink" Target="http://ch.farnell.com/walsin/wr08x10r0ftl/dicksch-widerstand-10r-1-150v/dp/2498048" TargetMode="External"/><Relationship Id="rId11" Type="http://schemas.openxmlformats.org/officeDocument/2006/relationships/hyperlink" Target="https://www.aliexpress.com/item/500PCS-LM2904-LM2904DR-LM2904D-SOP-8/32518015605.html" TargetMode="External"/><Relationship Id="rId24" Type="http://schemas.openxmlformats.org/officeDocument/2006/relationships/hyperlink" Target="https://www.aliexpress.com/item/500PCS-NE555DR-NE555D-NE555-IC-555-SMD-assurance-NEW/32686681723.html" TargetMode="External"/><Relationship Id="rId5" Type="http://schemas.openxmlformats.org/officeDocument/2006/relationships/hyperlink" Target="http://ch.farnell.com/walsin/wr08x1002ftl/dicksch-widerstand-10k-1-150v/dp/2498051" TargetMode="External"/><Relationship Id="rId15" Type="http://schemas.openxmlformats.org/officeDocument/2006/relationships/hyperlink" Target="https://www.aliexpress.com/item/HEF4538-HEF4538BT-digital-logic-circuit-SOP16-imported-new-original-MHBX2/32694256723.html" TargetMode="External"/><Relationship Id="rId23" Type="http://schemas.openxmlformats.org/officeDocument/2006/relationships/hyperlink" Target="https://www.aliexpress.com/item/1000-PCS-LBSS138LT1G-SOT-23-BSS138-J1-Power-MOSFET-200-mAmps-50-Volts-N-hannel-SOT/32316697150.html" TargetMode="External"/><Relationship Id="rId28" Type="http://schemas.openxmlformats.org/officeDocument/2006/relationships/hyperlink" Target="https://www.aliexpress.com/item/Free-shipping-100Pcs-lot-Wholesale-3-96mm-Pitch-12-Pins-PCB-Male-Box-Header-Bar-Connector/888918208.html" TargetMode="External"/><Relationship Id="rId10" Type="http://schemas.openxmlformats.org/officeDocument/2006/relationships/hyperlink" Target="http://ch.farnell.com/walsin/wr08x2702ftl/dicksch-widerstand-27k-1-150v/dp/2498084" TargetMode="External"/><Relationship Id="rId19" Type="http://schemas.openxmlformats.org/officeDocument/2006/relationships/hyperlink" Target="https://www.aliexpress.com/item/Free-shipping-1206-SMD-capacitor-100uf-16V-107Z-100PCS/32376068793.html" TargetMode="External"/><Relationship Id="rId31" Type="http://schemas.openxmlformats.org/officeDocument/2006/relationships/printerSettings" Target="../printerSettings/printerSettings1.bin"/><Relationship Id="rId4" Type="http://schemas.openxmlformats.org/officeDocument/2006/relationships/hyperlink" Target="http://ch.farnell.com/walsin/wr08x1003ftl/dicksch-widerstand-100k-1-150v/dp/2498052" TargetMode="External"/><Relationship Id="rId9" Type="http://schemas.openxmlformats.org/officeDocument/2006/relationships/hyperlink" Target="http://ch.farnell.com/walsin/wr08x4701ftl/dicksch-widerstand-4k7-1-150v/dp/2498105" TargetMode="External"/><Relationship Id="rId14" Type="http://schemas.openxmlformats.org/officeDocument/2006/relationships/hyperlink" Target="https://www.aliexpress.com/item/1000PCS-in-stock-78L06-6V-SOT-89/32716599879.html" TargetMode="External"/><Relationship Id="rId22" Type="http://schemas.openxmlformats.org/officeDocument/2006/relationships/hyperlink" Target="https://www.aliexpress.com/item/Free-shipping-500pcs-lot-ULN2004-ULN2004A-ULN2004ADR-SOP-16/32667261685.html" TargetMode="External"/><Relationship Id="rId27" Type="http://schemas.openxmlformats.org/officeDocument/2006/relationships/hyperlink" Target="https://www.aliexpress.com/item/Free-Shipping-200pcs-DIP-Resistors-carbon-Resisters-2W-47ohm-5-Carbon-Film-Resistor/32523580839.html" TargetMode="External"/><Relationship Id="rId30" Type="http://schemas.openxmlformats.org/officeDocument/2006/relationships/hyperlink" Target="http://www.reichelt.de/SP-2000-SW/3/index.html?&amp;ACTION=3&amp;LA=446&amp;ARTICLE=33824&amp;artnr=SP+2000+SW&amp;SEARCH=SP+2000+S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5"/>
  <sheetViews>
    <sheetView tabSelected="1" zoomScaleNormal="100" workbookViewId="0">
      <selection activeCell="K82" sqref="K82"/>
    </sheetView>
  </sheetViews>
  <sheetFormatPr baseColWidth="10" defaultRowHeight="12.75" x14ac:dyDescent="0.2"/>
  <cols>
    <col min="1" max="1" width="4.28515625" customWidth="1"/>
    <col min="2" max="2" width="9.140625" style="2" customWidth="1"/>
    <col min="3" max="3" width="10" customWidth="1"/>
    <col min="4" max="4" width="12.140625" customWidth="1"/>
    <col min="5" max="5" width="14.42578125" customWidth="1"/>
    <col min="6" max="6" width="12.28515625" customWidth="1"/>
    <col min="7" max="7" width="10.140625" customWidth="1"/>
    <col min="8" max="8" width="9.7109375" customWidth="1"/>
    <col min="9" max="9" width="9.140625" customWidth="1"/>
    <col min="10" max="10" width="13.140625" customWidth="1"/>
    <col min="11" max="11" width="11" customWidth="1"/>
    <col min="12" max="12" width="7.140625" customWidth="1"/>
    <col min="13" max="13" width="7.5703125" customWidth="1"/>
    <col min="14" max="14" width="10.7109375" customWidth="1"/>
    <col min="15" max="15" width="17.140625" customWidth="1"/>
    <col min="16" max="16" width="13.28515625" customWidth="1"/>
    <col min="17" max="17" width="25.42578125" customWidth="1"/>
  </cols>
  <sheetData>
    <row r="1" spans="1:17" x14ac:dyDescent="0.2">
      <c r="A1" s="41" t="s">
        <v>108</v>
      </c>
    </row>
    <row r="2" spans="1:17" x14ac:dyDescent="0.2">
      <c r="A2" s="17" t="s">
        <v>89</v>
      </c>
      <c r="B2" s="31" t="s">
        <v>111</v>
      </c>
      <c r="C2" s="33"/>
    </row>
    <row r="3" spans="1:17" x14ac:dyDescent="0.2">
      <c r="A3" s="21" t="s">
        <v>90</v>
      </c>
      <c r="B3" s="37" t="s">
        <v>91</v>
      </c>
      <c r="C3" s="39"/>
    </row>
    <row r="5" spans="1:17" x14ac:dyDescent="0.2">
      <c r="A5" s="42" t="s">
        <v>109</v>
      </c>
    </row>
    <row r="6" spans="1:17" x14ac:dyDescent="0.2">
      <c r="A6" s="1" t="s">
        <v>150</v>
      </c>
    </row>
    <row r="7" spans="1:17" ht="51" x14ac:dyDescent="0.2">
      <c r="A7" s="91" t="s">
        <v>0</v>
      </c>
      <c r="B7" s="90" t="s">
        <v>1</v>
      </c>
      <c r="C7" s="90" t="s">
        <v>3</v>
      </c>
      <c r="D7" s="90" t="s">
        <v>2</v>
      </c>
      <c r="E7" s="90" t="s">
        <v>4</v>
      </c>
      <c r="F7" s="90" t="s">
        <v>5</v>
      </c>
      <c r="G7" s="90"/>
      <c r="H7" s="92"/>
      <c r="I7" s="93" t="s">
        <v>115</v>
      </c>
      <c r="J7" s="94" t="s">
        <v>117</v>
      </c>
      <c r="K7" s="94" t="s">
        <v>168</v>
      </c>
      <c r="L7" s="95" t="s">
        <v>172</v>
      </c>
      <c r="M7" s="89" t="s">
        <v>173</v>
      </c>
      <c r="N7" s="89" t="s">
        <v>163</v>
      </c>
      <c r="O7" s="95" t="s">
        <v>178</v>
      </c>
      <c r="P7" s="94" t="s">
        <v>191</v>
      </c>
      <c r="Q7" s="95" t="s">
        <v>151</v>
      </c>
    </row>
    <row r="8" spans="1:17" x14ac:dyDescent="0.2">
      <c r="A8" s="34">
        <v>6</v>
      </c>
      <c r="B8" s="35" t="s">
        <v>11</v>
      </c>
      <c r="C8" s="4" t="s">
        <v>13</v>
      </c>
      <c r="D8" s="4" t="s">
        <v>12</v>
      </c>
      <c r="E8" s="4" t="s">
        <v>14</v>
      </c>
      <c r="F8" s="4"/>
      <c r="G8" s="4"/>
      <c r="H8" s="36"/>
      <c r="I8" s="48" t="s">
        <v>142</v>
      </c>
      <c r="J8" s="30" t="s">
        <v>142</v>
      </c>
      <c r="K8" s="51">
        <v>0.01</v>
      </c>
      <c r="L8" s="52"/>
      <c r="M8" s="74">
        <f>500*A8</f>
        <v>3000</v>
      </c>
      <c r="N8" s="83">
        <v>0</v>
      </c>
      <c r="O8" s="52" t="s">
        <v>121</v>
      </c>
      <c r="P8" s="72" t="s">
        <v>152</v>
      </c>
      <c r="Q8" s="72" t="s">
        <v>153</v>
      </c>
    </row>
    <row r="9" spans="1:17" x14ac:dyDescent="0.2">
      <c r="A9" s="34">
        <v>1</v>
      </c>
      <c r="B9" s="35" t="s">
        <v>30</v>
      </c>
      <c r="C9" s="4" t="s">
        <v>13</v>
      </c>
      <c r="D9" s="4" t="s">
        <v>12</v>
      </c>
      <c r="E9" s="4" t="s">
        <v>31</v>
      </c>
      <c r="F9" s="4"/>
      <c r="G9" s="4"/>
      <c r="H9" s="36"/>
      <c r="I9" s="48"/>
      <c r="J9" s="86">
        <v>32375506423</v>
      </c>
      <c r="K9" s="58">
        <f>0.9/200</f>
        <v>4.5000000000000005E-3</v>
      </c>
      <c r="L9" s="59">
        <v>200</v>
      </c>
      <c r="M9" s="8">
        <f t="shared" ref="M9:M33" si="0">500*A9</f>
        <v>500</v>
      </c>
      <c r="N9" s="84">
        <v>0</v>
      </c>
      <c r="O9" s="59" t="s">
        <v>121</v>
      </c>
      <c r="P9" s="48" t="s">
        <v>154</v>
      </c>
      <c r="Q9" s="48" t="s">
        <v>153</v>
      </c>
    </row>
    <row r="10" spans="1:17" x14ac:dyDescent="0.2">
      <c r="A10" s="34">
        <v>1</v>
      </c>
      <c r="B10" s="35" t="s">
        <v>33</v>
      </c>
      <c r="C10" s="4" t="s">
        <v>13</v>
      </c>
      <c r="D10" s="4" t="s">
        <v>34</v>
      </c>
      <c r="E10" s="4" t="s">
        <v>35</v>
      </c>
      <c r="F10" s="4"/>
      <c r="G10" s="4"/>
      <c r="H10" s="36"/>
      <c r="I10" s="48"/>
      <c r="J10" s="86">
        <v>32376068362</v>
      </c>
      <c r="K10" s="58">
        <f>1.18/200</f>
        <v>5.8999999999999999E-3</v>
      </c>
      <c r="L10" s="59">
        <v>200</v>
      </c>
      <c r="M10" s="8">
        <f t="shared" si="0"/>
        <v>500</v>
      </c>
      <c r="N10" s="84">
        <v>0</v>
      </c>
      <c r="O10" s="59" t="s">
        <v>121</v>
      </c>
      <c r="P10" s="48" t="s">
        <v>155</v>
      </c>
      <c r="Q10" s="48" t="s">
        <v>153</v>
      </c>
    </row>
    <row r="11" spans="1:17" x14ac:dyDescent="0.2">
      <c r="A11" s="34">
        <v>2</v>
      </c>
      <c r="B11" s="35" t="s">
        <v>15</v>
      </c>
      <c r="C11" s="4" t="s">
        <v>17</v>
      </c>
      <c r="D11" s="4" t="s">
        <v>16</v>
      </c>
      <c r="E11" s="4" t="s">
        <v>18</v>
      </c>
      <c r="F11" s="4"/>
      <c r="G11" s="4"/>
      <c r="H11" s="36"/>
      <c r="I11" s="48"/>
      <c r="J11" s="87">
        <v>32376068793</v>
      </c>
      <c r="K11" s="53">
        <f>4.1/100</f>
        <v>4.0999999999999995E-2</v>
      </c>
      <c r="L11" s="54">
        <v>100</v>
      </c>
      <c r="M11" s="75">
        <f t="shared" si="0"/>
        <v>1000</v>
      </c>
      <c r="N11" s="85">
        <v>0</v>
      </c>
      <c r="O11" s="54" t="s">
        <v>121</v>
      </c>
      <c r="P11" s="48" t="s">
        <v>156</v>
      </c>
      <c r="Q11" s="48" t="s">
        <v>157</v>
      </c>
    </row>
    <row r="12" spans="1:17" x14ac:dyDescent="0.2">
      <c r="A12" s="30">
        <v>6</v>
      </c>
      <c r="B12" s="31" t="s">
        <v>25</v>
      </c>
      <c r="C12" s="32" t="s">
        <v>27</v>
      </c>
      <c r="D12" s="32" t="s">
        <v>26</v>
      </c>
      <c r="E12" s="32" t="s">
        <v>28</v>
      </c>
      <c r="F12" s="32"/>
      <c r="G12" s="32"/>
      <c r="H12" s="33"/>
      <c r="I12" s="72"/>
      <c r="J12" s="88">
        <v>32687291008</v>
      </c>
      <c r="K12" s="51">
        <f>25.6/3000</f>
        <v>8.5333333333333337E-3</v>
      </c>
      <c r="L12" s="52">
        <v>3000</v>
      </c>
      <c r="M12" s="74">
        <f t="shared" si="0"/>
        <v>3000</v>
      </c>
      <c r="N12" s="98">
        <v>4000</v>
      </c>
      <c r="O12" s="31" t="s">
        <v>165</v>
      </c>
      <c r="P12" s="72" t="s">
        <v>180</v>
      </c>
      <c r="Q12" s="33"/>
    </row>
    <row r="13" spans="1:17" x14ac:dyDescent="0.2">
      <c r="A13" s="5">
        <v>4</v>
      </c>
      <c r="B13" s="37" t="s">
        <v>107</v>
      </c>
      <c r="C13" s="38" t="s">
        <v>27</v>
      </c>
      <c r="D13" s="37" t="s">
        <v>93</v>
      </c>
      <c r="E13" s="38" t="s">
        <v>29</v>
      </c>
      <c r="F13" s="38"/>
      <c r="G13" s="38"/>
      <c r="H13" s="39"/>
      <c r="I13" s="73"/>
      <c r="J13" s="87">
        <v>2024887597</v>
      </c>
      <c r="K13" s="58" t="s">
        <v>119</v>
      </c>
      <c r="L13" s="59">
        <v>1000</v>
      </c>
      <c r="M13" s="8">
        <f t="shared" si="0"/>
        <v>2000</v>
      </c>
      <c r="N13" s="96" t="s">
        <v>164</v>
      </c>
      <c r="O13" s="35" t="s">
        <v>165</v>
      </c>
      <c r="P13" s="73" t="s">
        <v>158</v>
      </c>
      <c r="Q13" s="97" t="s">
        <v>167</v>
      </c>
    </row>
    <row r="14" spans="1:17" x14ac:dyDescent="0.2">
      <c r="A14" s="34">
        <v>1</v>
      </c>
      <c r="B14" s="4" t="s">
        <v>43</v>
      </c>
      <c r="C14" s="4" t="s">
        <v>44</v>
      </c>
      <c r="D14" s="4" t="s">
        <v>43</v>
      </c>
      <c r="E14" s="4" t="s">
        <v>45</v>
      </c>
      <c r="F14" s="4" t="s">
        <v>46</v>
      </c>
      <c r="G14" s="4"/>
      <c r="H14" s="36"/>
      <c r="I14" s="72"/>
      <c r="J14" s="88">
        <v>32686681723</v>
      </c>
      <c r="K14" s="51">
        <f>13.2/500</f>
        <v>2.64E-2</v>
      </c>
      <c r="L14" s="52">
        <v>500</v>
      </c>
      <c r="M14" s="74">
        <f t="shared" si="0"/>
        <v>500</v>
      </c>
      <c r="N14" s="83">
        <v>0</v>
      </c>
      <c r="O14" s="52" t="s">
        <v>181</v>
      </c>
      <c r="P14" s="36"/>
      <c r="Q14" s="48"/>
    </row>
    <row r="15" spans="1:17" x14ac:dyDescent="0.2">
      <c r="A15" s="34">
        <v>1</v>
      </c>
      <c r="B15" s="35" t="s">
        <v>54</v>
      </c>
      <c r="C15" s="4" t="s">
        <v>44</v>
      </c>
      <c r="D15" s="4" t="s">
        <v>54</v>
      </c>
      <c r="E15" s="4" t="s">
        <v>55</v>
      </c>
      <c r="F15" s="4" t="s">
        <v>56</v>
      </c>
      <c r="G15" s="4"/>
      <c r="H15" s="36"/>
      <c r="I15" s="48"/>
      <c r="J15" s="86">
        <v>32518015605</v>
      </c>
      <c r="K15" s="58" t="s">
        <v>118</v>
      </c>
      <c r="L15" s="59">
        <v>500</v>
      </c>
      <c r="M15" s="8">
        <f t="shared" si="0"/>
        <v>500</v>
      </c>
      <c r="N15" s="84">
        <v>0</v>
      </c>
      <c r="O15" s="59" t="s">
        <v>181</v>
      </c>
      <c r="P15" s="36"/>
      <c r="Q15" s="48" t="s">
        <v>159</v>
      </c>
    </row>
    <row r="16" spans="1:17" x14ac:dyDescent="0.2">
      <c r="A16" s="34">
        <v>1</v>
      </c>
      <c r="B16" s="35" t="s">
        <v>57</v>
      </c>
      <c r="C16" s="4" t="s">
        <v>59</v>
      </c>
      <c r="D16" s="4" t="s">
        <v>58</v>
      </c>
      <c r="E16" s="4" t="s">
        <v>60</v>
      </c>
      <c r="F16" s="4" t="s">
        <v>113</v>
      </c>
      <c r="G16" s="4"/>
      <c r="H16" s="36"/>
      <c r="I16" s="48"/>
      <c r="J16" s="86">
        <v>1245879199</v>
      </c>
      <c r="K16" s="58">
        <v>4.7E-2</v>
      </c>
      <c r="L16" s="59">
        <v>100</v>
      </c>
      <c r="M16" s="8">
        <f t="shared" si="0"/>
        <v>500</v>
      </c>
      <c r="N16" s="84">
        <v>0</v>
      </c>
      <c r="O16" s="59" t="s">
        <v>181</v>
      </c>
      <c r="P16" s="36"/>
      <c r="Q16" s="48" t="s">
        <v>160</v>
      </c>
    </row>
    <row r="17" spans="1:17" x14ac:dyDescent="0.2">
      <c r="A17" s="34">
        <v>1</v>
      </c>
      <c r="B17" s="35">
        <v>4028</v>
      </c>
      <c r="C17" s="4" t="s">
        <v>37</v>
      </c>
      <c r="D17" s="4" t="s">
        <v>36</v>
      </c>
      <c r="E17" s="4" t="s">
        <v>38</v>
      </c>
      <c r="F17" s="4" t="s">
        <v>39</v>
      </c>
      <c r="G17" s="4"/>
      <c r="H17" s="36"/>
      <c r="I17" s="49" t="s">
        <v>116</v>
      </c>
      <c r="J17" s="34"/>
      <c r="K17" s="58">
        <v>0.13400000000000001</v>
      </c>
      <c r="L17" s="59">
        <v>1000</v>
      </c>
      <c r="M17" s="8">
        <f t="shared" si="0"/>
        <v>500</v>
      </c>
      <c r="N17" s="84" t="s">
        <v>174</v>
      </c>
      <c r="O17" s="59" t="s">
        <v>182</v>
      </c>
      <c r="P17" s="36"/>
      <c r="Q17" s="48" t="s">
        <v>183</v>
      </c>
    </row>
    <row r="18" spans="1:17" x14ac:dyDescent="0.2">
      <c r="A18" s="34">
        <v>1</v>
      </c>
      <c r="B18" s="35">
        <v>4538</v>
      </c>
      <c r="C18" s="4" t="s">
        <v>37</v>
      </c>
      <c r="D18" s="4" t="s">
        <v>40</v>
      </c>
      <c r="E18" s="4" t="s">
        <v>41</v>
      </c>
      <c r="F18" s="4" t="s">
        <v>114</v>
      </c>
      <c r="G18" s="4"/>
      <c r="H18" s="36"/>
      <c r="I18" s="48"/>
      <c r="J18" s="86">
        <v>32694256723</v>
      </c>
      <c r="K18" s="58" t="s">
        <v>124</v>
      </c>
      <c r="L18" s="59">
        <v>100</v>
      </c>
      <c r="M18" s="8">
        <f t="shared" si="0"/>
        <v>500</v>
      </c>
      <c r="N18" s="84">
        <v>0</v>
      </c>
      <c r="O18" s="59" t="s">
        <v>181</v>
      </c>
      <c r="P18" s="36"/>
      <c r="Q18" t="s">
        <v>184</v>
      </c>
    </row>
    <row r="19" spans="1:17" x14ac:dyDescent="0.2">
      <c r="A19" s="34">
        <v>1</v>
      </c>
      <c r="B19" s="35" t="s">
        <v>71</v>
      </c>
      <c r="C19" s="4" t="s">
        <v>37</v>
      </c>
      <c r="D19" s="4" t="s">
        <v>72</v>
      </c>
      <c r="E19" s="4" t="s">
        <v>73</v>
      </c>
      <c r="F19" s="4" t="s">
        <v>74</v>
      </c>
      <c r="G19" s="4"/>
      <c r="H19" s="36"/>
      <c r="I19" s="73"/>
      <c r="J19" s="87">
        <v>32667261685</v>
      </c>
      <c r="K19" s="53">
        <v>0.1</v>
      </c>
      <c r="L19" s="54">
        <v>500</v>
      </c>
      <c r="M19" s="75">
        <f t="shared" si="0"/>
        <v>500</v>
      </c>
      <c r="N19" s="85">
        <v>0</v>
      </c>
      <c r="O19" s="54" t="s">
        <v>181</v>
      </c>
      <c r="P19" s="36"/>
      <c r="Q19" s="48"/>
    </row>
    <row r="20" spans="1:17" x14ac:dyDescent="0.2">
      <c r="A20" s="30">
        <v>2</v>
      </c>
      <c r="B20" s="31" t="s">
        <v>185</v>
      </c>
      <c r="C20" s="32" t="s">
        <v>51</v>
      </c>
      <c r="D20" s="30" t="s">
        <v>50</v>
      </c>
      <c r="E20" s="32" t="s">
        <v>52</v>
      </c>
      <c r="F20" s="32" t="s">
        <v>53</v>
      </c>
      <c r="G20" s="32"/>
      <c r="H20" s="33"/>
      <c r="I20" s="48"/>
      <c r="J20" s="62">
        <v>32316697150</v>
      </c>
      <c r="K20" s="58">
        <v>1.0999999999999999E-2</v>
      </c>
      <c r="L20" s="59">
        <v>1000</v>
      </c>
      <c r="M20" s="7">
        <f t="shared" si="0"/>
        <v>1000</v>
      </c>
      <c r="N20" s="84">
        <v>0</v>
      </c>
      <c r="O20" s="59" t="s">
        <v>175</v>
      </c>
      <c r="P20" s="72" t="s">
        <v>161</v>
      </c>
      <c r="Q20" s="72" t="s">
        <v>177</v>
      </c>
    </row>
    <row r="21" spans="1:17" x14ac:dyDescent="0.2">
      <c r="A21" s="34">
        <v>4</v>
      </c>
      <c r="B21" s="35" t="s">
        <v>92</v>
      </c>
      <c r="C21" s="4" t="s">
        <v>7</v>
      </c>
      <c r="D21" s="34" t="s">
        <v>6</v>
      </c>
      <c r="E21" s="4" t="s">
        <v>8</v>
      </c>
      <c r="F21" s="4" t="s">
        <v>127</v>
      </c>
      <c r="G21" s="4"/>
      <c r="H21" s="36"/>
      <c r="I21" s="48"/>
      <c r="J21" s="62">
        <v>32390023505</v>
      </c>
      <c r="K21" s="58">
        <v>0.02</v>
      </c>
      <c r="L21" s="59">
        <v>1000</v>
      </c>
      <c r="M21" s="7">
        <f t="shared" si="0"/>
        <v>2000</v>
      </c>
      <c r="N21" s="84">
        <v>0</v>
      </c>
      <c r="O21" s="59" t="s">
        <v>121</v>
      </c>
      <c r="P21" s="48" t="s">
        <v>176</v>
      </c>
      <c r="Q21" s="48" t="s">
        <v>189</v>
      </c>
    </row>
    <row r="22" spans="1:17" x14ac:dyDescent="0.2">
      <c r="A22" s="5">
        <v>1</v>
      </c>
      <c r="B22" s="37" t="s">
        <v>61</v>
      </c>
      <c r="C22" s="38" t="s">
        <v>7</v>
      </c>
      <c r="D22" s="5" t="s">
        <v>62</v>
      </c>
      <c r="E22" s="38" t="s">
        <v>63</v>
      </c>
      <c r="F22" s="38" t="s">
        <v>126</v>
      </c>
      <c r="G22" s="38"/>
      <c r="H22" s="39"/>
      <c r="I22" s="48"/>
      <c r="J22" s="62">
        <v>32590988708</v>
      </c>
      <c r="K22" s="58" t="s">
        <v>125</v>
      </c>
      <c r="L22" s="59">
        <v>1000</v>
      </c>
      <c r="M22" s="9">
        <f t="shared" si="0"/>
        <v>500</v>
      </c>
      <c r="N22" s="85">
        <v>0</v>
      </c>
      <c r="O22" s="54" t="s">
        <v>121</v>
      </c>
      <c r="P22" s="73" t="s">
        <v>162</v>
      </c>
      <c r="Q22" s="76" t="s">
        <v>190</v>
      </c>
    </row>
    <row r="23" spans="1:17" x14ac:dyDescent="0.2">
      <c r="A23" s="34">
        <v>1</v>
      </c>
      <c r="B23" s="35" t="s">
        <v>76</v>
      </c>
      <c r="C23" s="4" t="s">
        <v>7</v>
      </c>
      <c r="D23" s="4" t="s">
        <v>77</v>
      </c>
      <c r="E23" s="4" t="s">
        <v>75</v>
      </c>
      <c r="F23" s="38" t="s">
        <v>49</v>
      </c>
      <c r="G23" s="4"/>
      <c r="H23" s="36"/>
      <c r="I23" s="72"/>
      <c r="J23" s="88">
        <v>32714846870</v>
      </c>
      <c r="K23" s="51" t="s">
        <v>122</v>
      </c>
      <c r="L23" s="52">
        <v>500</v>
      </c>
      <c r="M23" s="74">
        <f t="shared" si="0"/>
        <v>500</v>
      </c>
      <c r="N23" s="81">
        <v>500</v>
      </c>
      <c r="O23" s="52" t="s">
        <v>166</v>
      </c>
      <c r="P23" s="72"/>
      <c r="Q23" s="72" t="s">
        <v>179</v>
      </c>
    </row>
    <row r="24" spans="1:17" x14ac:dyDescent="0.2">
      <c r="A24" s="34">
        <v>1</v>
      </c>
      <c r="B24" s="35" t="s">
        <v>47</v>
      </c>
      <c r="C24" s="4" t="s">
        <v>7</v>
      </c>
      <c r="D24" s="4" t="s">
        <v>78</v>
      </c>
      <c r="E24" s="4" t="s">
        <v>48</v>
      </c>
      <c r="F24" s="4" t="s">
        <v>49</v>
      </c>
      <c r="G24" s="4"/>
      <c r="H24" s="36"/>
      <c r="I24" s="73"/>
      <c r="J24" s="87">
        <v>32716599879</v>
      </c>
      <c r="K24" s="53" t="s">
        <v>123</v>
      </c>
      <c r="L24" s="54">
        <v>1000</v>
      </c>
      <c r="M24" s="75">
        <f t="shared" si="0"/>
        <v>500</v>
      </c>
      <c r="N24" s="82">
        <v>1000</v>
      </c>
      <c r="O24" s="54" t="s">
        <v>186</v>
      </c>
      <c r="P24" s="73"/>
      <c r="Q24" s="73"/>
    </row>
    <row r="25" spans="1:17" ht="12" customHeight="1" x14ac:dyDescent="0.2">
      <c r="A25" s="30">
        <v>2</v>
      </c>
      <c r="B25" s="31">
        <v>100</v>
      </c>
      <c r="C25" s="32" t="s">
        <v>9</v>
      </c>
      <c r="D25" s="31" t="s">
        <v>110</v>
      </c>
      <c r="E25" s="32" t="s">
        <v>95</v>
      </c>
      <c r="F25" s="32"/>
      <c r="G25" s="32"/>
      <c r="H25" s="33"/>
      <c r="I25" s="49">
        <v>2498048</v>
      </c>
      <c r="J25" s="30"/>
      <c r="K25" s="51">
        <f>6.5/5000</f>
        <v>1.2999999999999999E-3</v>
      </c>
      <c r="L25" s="52">
        <v>5000</v>
      </c>
      <c r="M25" s="74">
        <f t="shared" si="0"/>
        <v>1000</v>
      </c>
      <c r="N25" s="98">
        <v>5000</v>
      </c>
      <c r="O25" s="52" t="s">
        <v>120</v>
      </c>
      <c r="P25" s="48"/>
      <c r="Q25" s="101" t="s">
        <v>187</v>
      </c>
    </row>
    <row r="26" spans="1:17" x14ac:dyDescent="0.2">
      <c r="A26" s="34">
        <v>5</v>
      </c>
      <c r="B26" s="35">
        <v>1002</v>
      </c>
      <c r="C26" s="4" t="s">
        <v>9</v>
      </c>
      <c r="D26" s="40" t="s">
        <v>100</v>
      </c>
      <c r="E26" s="4" t="s">
        <v>10</v>
      </c>
      <c r="F26" s="4"/>
      <c r="G26" s="4"/>
      <c r="H26" s="36"/>
      <c r="I26" s="49">
        <v>2498051</v>
      </c>
      <c r="J26" s="34"/>
      <c r="K26" s="58">
        <f t="shared" ref="K26:K32" si="1">6.5/5000</f>
        <v>1.2999999999999999E-3</v>
      </c>
      <c r="L26" s="59">
        <v>5000</v>
      </c>
      <c r="M26" s="8">
        <f t="shared" si="0"/>
        <v>2500</v>
      </c>
      <c r="N26" s="99">
        <v>5000</v>
      </c>
      <c r="O26" s="59" t="s">
        <v>120</v>
      </c>
      <c r="P26" s="48"/>
      <c r="Q26" s="102"/>
    </row>
    <row r="27" spans="1:17" x14ac:dyDescent="0.2">
      <c r="A27" s="34">
        <v>5</v>
      </c>
      <c r="B27" s="35">
        <v>102</v>
      </c>
      <c r="C27" s="4" t="s">
        <v>9</v>
      </c>
      <c r="D27" s="40" t="s">
        <v>101</v>
      </c>
      <c r="E27" s="4" t="s">
        <v>19</v>
      </c>
      <c r="F27" s="4"/>
      <c r="G27" s="4"/>
      <c r="H27" s="36"/>
      <c r="I27" s="49">
        <v>2498050</v>
      </c>
      <c r="J27" s="34"/>
      <c r="K27" s="58">
        <f t="shared" si="1"/>
        <v>1.2999999999999999E-3</v>
      </c>
      <c r="L27" s="59">
        <v>5000</v>
      </c>
      <c r="M27" s="8">
        <f t="shared" si="0"/>
        <v>2500</v>
      </c>
      <c r="N27" s="99">
        <v>5000</v>
      </c>
      <c r="O27" s="59" t="s">
        <v>120</v>
      </c>
      <c r="P27" s="48" t="s">
        <v>193</v>
      </c>
      <c r="Q27" s="102"/>
    </row>
    <row r="28" spans="1:17" x14ac:dyDescent="0.2">
      <c r="A28" s="34">
        <v>7</v>
      </c>
      <c r="B28" s="35">
        <v>104</v>
      </c>
      <c r="C28" s="4" t="s">
        <v>9</v>
      </c>
      <c r="D28" s="40" t="s">
        <v>102</v>
      </c>
      <c r="E28" s="4" t="s">
        <v>20</v>
      </c>
      <c r="F28" s="4"/>
      <c r="G28" s="4"/>
      <c r="H28" s="36"/>
      <c r="I28" s="49">
        <v>2498052</v>
      </c>
      <c r="J28" s="34"/>
      <c r="K28" s="58">
        <f t="shared" si="1"/>
        <v>1.2999999999999999E-3</v>
      </c>
      <c r="L28" s="59">
        <v>5000</v>
      </c>
      <c r="M28" s="8">
        <f t="shared" si="0"/>
        <v>3500</v>
      </c>
      <c r="N28" s="99">
        <v>5000</v>
      </c>
      <c r="O28" s="59" t="s">
        <v>120</v>
      </c>
      <c r="P28" s="48"/>
      <c r="Q28" s="102"/>
    </row>
    <row r="29" spans="1:17" x14ac:dyDescent="0.2">
      <c r="A29" s="34">
        <v>2</v>
      </c>
      <c r="B29" s="35">
        <v>1502</v>
      </c>
      <c r="C29" s="4" t="s">
        <v>9</v>
      </c>
      <c r="D29" s="40" t="s">
        <v>103</v>
      </c>
      <c r="E29" s="4" t="s">
        <v>24</v>
      </c>
      <c r="F29" s="4"/>
      <c r="G29" s="4"/>
      <c r="H29" s="36"/>
      <c r="I29" s="49">
        <v>2498062</v>
      </c>
      <c r="J29" s="34"/>
      <c r="K29" s="58">
        <f t="shared" si="1"/>
        <v>1.2999999999999999E-3</v>
      </c>
      <c r="L29" s="59">
        <v>5000</v>
      </c>
      <c r="M29" s="8">
        <f t="shared" si="0"/>
        <v>1000</v>
      </c>
      <c r="N29" s="99">
        <v>5000</v>
      </c>
      <c r="O29" s="59" t="s">
        <v>120</v>
      </c>
      <c r="P29" s="48"/>
      <c r="Q29" s="102"/>
    </row>
    <row r="30" spans="1:17" x14ac:dyDescent="0.2">
      <c r="A30" s="34">
        <v>2</v>
      </c>
      <c r="B30" s="35">
        <v>2201</v>
      </c>
      <c r="C30" s="4" t="s">
        <v>9</v>
      </c>
      <c r="D30" s="40" t="s">
        <v>104</v>
      </c>
      <c r="E30" s="4" t="s">
        <v>32</v>
      </c>
      <c r="F30" s="4"/>
      <c r="G30" s="4"/>
      <c r="H30" s="36"/>
      <c r="I30" s="49">
        <v>2498077</v>
      </c>
      <c r="J30" s="34"/>
      <c r="K30" s="58">
        <f t="shared" si="1"/>
        <v>1.2999999999999999E-3</v>
      </c>
      <c r="L30" s="59">
        <v>5000</v>
      </c>
      <c r="M30" s="8">
        <f t="shared" si="0"/>
        <v>1000</v>
      </c>
      <c r="N30" s="99">
        <v>5000</v>
      </c>
      <c r="O30" s="59" t="s">
        <v>120</v>
      </c>
      <c r="P30" s="48"/>
      <c r="Q30" s="102"/>
    </row>
    <row r="31" spans="1:17" x14ac:dyDescent="0.2">
      <c r="A31" s="34">
        <v>5</v>
      </c>
      <c r="B31" s="35">
        <v>2702</v>
      </c>
      <c r="C31" s="4" t="s">
        <v>9</v>
      </c>
      <c r="D31" s="40" t="s">
        <v>105</v>
      </c>
      <c r="E31" s="4" t="s">
        <v>94</v>
      </c>
      <c r="F31" s="4"/>
      <c r="G31" s="4"/>
      <c r="H31" s="36"/>
      <c r="I31" s="49">
        <v>2498084</v>
      </c>
      <c r="J31" s="34"/>
      <c r="K31" s="58">
        <f t="shared" si="1"/>
        <v>1.2999999999999999E-3</v>
      </c>
      <c r="L31" s="59">
        <v>5000</v>
      </c>
      <c r="M31" s="8">
        <f t="shared" si="0"/>
        <v>2500</v>
      </c>
      <c r="N31" s="99">
        <v>5000</v>
      </c>
      <c r="O31" s="59" t="s">
        <v>120</v>
      </c>
      <c r="P31" s="48"/>
      <c r="Q31" s="102"/>
    </row>
    <row r="32" spans="1:17" x14ac:dyDescent="0.2">
      <c r="A32" s="34">
        <v>3</v>
      </c>
      <c r="B32" s="35">
        <v>4701</v>
      </c>
      <c r="C32" s="4" t="s">
        <v>9</v>
      </c>
      <c r="D32" s="40" t="s">
        <v>106</v>
      </c>
      <c r="E32" s="4" t="s">
        <v>42</v>
      </c>
      <c r="F32" s="4"/>
      <c r="G32" s="4"/>
      <c r="H32" s="36"/>
      <c r="I32" s="49">
        <v>2498105</v>
      </c>
      <c r="J32" s="34"/>
      <c r="K32" s="58">
        <f t="shared" si="1"/>
        <v>1.2999999999999999E-3</v>
      </c>
      <c r="L32" s="59">
        <v>5000</v>
      </c>
      <c r="M32" s="8">
        <f t="shared" si="0"/>
        <v>1500</v>
      </c>
      <c r="N32" s="99">
        <v>5000</v>
      </c>
      <c r="O32" s="59" t="s">
        <v>120</v>
      </c>
      <c r="P32" s="48"/>
      <c r="Q32" s="102"/>
    </row>
    <row r="33" spans="1:17" ht="13.5" thickBot="1" x14ac:dyDescent="0.25">
      <c r="A33" s="34">
        <v>3</v>
      </c>
      <c r="B33" s="35">
        <v>13</v>
      </c>
      <c r="C33" s="4" t="s">
        <v>21</v>
      </c>
      <c r="D33" s="35" t="s">
        <v>23</v>
      </c>
      <c r="E33" s="4" t="s">
        <v>22</v>
      </c>
      <c r="F33" s="4"/>
      <c r="G33" s="4"/>
      <c r="H33" s="36"/>
      <c r="I33" s="49">
        <v>2497996</v>
      </c>
      <c r="J33" s="5"/>
      <c r="K33" s="53">
        <f>10.5/5000</f>
        <v>2.0999999999999999E-3</v>
      </c>
      <c r="L33" s="54">
        <v>5000</v>
      </c>
      <c r="M33" s="75">
        <f t="shared" si="0"/>
        <v>1500</v>
      </c>
      <c r="N33" s="100">
        <v>5000</v>
      </c>
      <c r="O33" s="54" t="s">
        <v>120</v>
      </c>
      <c r="P33" s="73" t="s">
        <v>192</v>
      </c>
      <c r="Q33" s="73" t="s">
        <v>188</v>
      </c>
    </row>
    <row r="34" spans="1:17" ht="13.5" thickBot="1" x14ac:dyDescent="0.25">
      <c r="A34" s="67" t="s">
        <v>145</v>
      </c>
      <c r="B34" s="64"/>
      <c r="C34" s="65"/>
      <c r="D34" s="64"/>
      <c r="E34" s="65"/>
      <c r="F34" s="65"/>
      <c r="G34" s="65"/>
      <c r="H34" s="65"/>
      <c r="I34" s="66"/>
      <c r="J34" s="77"/>
      <c r="K34" s="78">
        <f>SUMPRODUCT(A8:A33,K8:K33)</f>
        <v>0.65959999999999996</v>
      </c>
      <c r="L34" s="79"/>
      <c r="M34" s="80"/>
    </row>
    <row r="35" spans="1:17" x14ac:dyDescent="0.2">
      <c r="A35" s="4"/>
      <c r="B35" s="35"/>
      <c r="C35" s="4"/>
      <c r="D35" s="35"/>
      <c r="E35" s="4"/>
      <c r="F35" s="4"/>
      <c r="G35" s="4"/>
      <c r="H35" s="4"/>
      <c r="I35" s="62"/>
      <c r="K35" s="2"/>
      <c r="L35" s="2"/>
      <c r="M35" s="2"/>
    </row>
    <row r="36" spans="1:17" x14ac:dyDescent="0.2">
      <c r="A36" s="1" t="s">
        <v>146</v>
      </c>
      <c r="K36" s="2"/>
      <c r="L36" s="2"/>
      <c r="M36" s="2"/>
    </row>
    <row r="37" spans="1:17" x14ac:dyDescent="0.2">
      <c r="A37" s="30">
        <v>1</v>
      </c>
      <c r="B37" s="31"/>
      <c r="C37" s="32"/>
      <c r="D37" s="32"/>
      <c r="E37" s="32"/>
      <c r="F37" s="32" t="s">
        <v>143</v>
      </c>
      <c r="G37" s="32"/>
      <c r="H37" s="33"/>
      <c r="I37" s="30"/>
      <c r="J37" s="63" t="s">
        <v>144</v>
      </c>
      <c r="K37" s="31">
        <f>2.13*1.1</f>
        <v>2.343</v>
      </c>
      <c r="L37" s="31">
        <v>1</v>
      </c>
      <c r="M37" s="52"/>
    </row>
    <row r="38" spans="1:17" ht="13.5" thickBot="1" x14ac:dyDescent="0.25">
      <c r="A38" s="34">
        <v>1</v>
      </c>
      <c r="B38" s="35"/>
      <c r="C38" s="4"/>
      <c r="D38" s="4"/>
      <c r="E38" s="4"/>
      <c r="F38" s="4" t="s">
        <v>147</v>
      </c>
      <c r="G38" s="4"/>
      <c r="H38" s="36"/>
      <c r="I38" s="34"/>
      <c r="J38" s="4" t="s">
        <v>148</v>
      </c>
      <c r="K38" s="35">
        <v>0.8</v>
      </c>
      <c r="L38" s="35">
        <v>350</v>
      </c>
      <c r="M38" s="59"/>
    </row>
    <row r="39" spans="1:17" ht="13.5" thickBot="1" x14ac:dyDescent="0.25">
      <c r="A39" s="67" t="s">
        <v>145</v>
      </c>
      <c r="B39" s="64"/>
      <c r="C39" s="65"/>
      <c r="D39" s="65"/>
      <c r="E39" s="65"/>
      <c r="F39" s="65"/>
      <c r="G39" s="65"/>
      <c r="H39" s="65"/>
      <c r="I39" s="65"/>
      <c r="J39" s="65"/>
      <c r="K39" s="69">
        <f>SUMPRODUCT(A37:A38,K37:K38)</f>
        <v>3.1429999999999998</v>
      </c>
      <c r="L39" s="64"/>
      <c r="M39" s="70"/>
    </row>
    <row r="40" spans="1:17" x14ac:dyDescent="0.2">
      <c r="A40" s="4"/>
      <c r="B40" s="35"/>
      <c r="C40" s="4"/>
      <c r="D40" s="35"/>
      <c r="E40" s="4"/>
      <c r="F40" s="4"/>
      <c r="G40" s="4"/>
      <c r="H40" s="4"/>
      <c r="I40" s="62"/>
      <c r="K40" s="2"/>
      <c r="L40" s="2"/>
      <c r="M40" s="2"/>
    </row>
    <row r="41" spans="1:17" x14ac:dyDescent="0.2">
      <c r="A41" s="1" t="s">
        <v>129</v>
      </c>
      <c r="K41" s="2"/>
      <c r="L41" s="2"/>
      <c r="M41" s="2"/>
    </row>
    <row r="42" spans="1:17" x14ac:dyDescent="0.2">
      <c r="A42" s="30">
        <v>1</v>
      </c>
      <c r="B42" s="31" t="s">
        <v>131</v>
      </c>
      <c r="C42" s="32" t="s">
        <v>132</v>
      </c>
      <c r="D42" s="32"/>
      <c r="E42" s="32"/>
      <c r="F42" s="32" t="s">
        <v>133</v>
      </c>
      <c r="G42" s="32"/>
      <c r="H42" s="33"/>
      <c r="I42" s="30"/>
      <c r="J42" s="63">
        <v>1246203110</v>
      </c>
      <c r="K42" s="31">
        <f>9.5/100</f>
        <v>9.5000000000000001E-2</v>
      </c>
      <c r="L42" s="31">
        <v>100</v>
      </c>
      <c r="M42" s="52"/>
    </row>
    <row r="43" spans="1:17" x14ac:dyDescent="0.2">
      <c r="A43" s="34">
        <v>4</v>
      </c>
      <c r="B43" s="35">
        <v>47</v>
      </c>
      <c r="C43" s="4"/>
      <c r="D43" s="4"/>
      <c r="E43" s="4"/>
      <c r="F43" s="4" t="s">
        <v>139</v>
      </c>
      <c r="G43" s="4"/>
      <c r="H43" s="36"/>
      <c r="I43" s="34"/>
      <c r="J43" s="62">
        <v>32523580839</v>
      </c>
      <c r="K43" s="35">
        <f>7.5/200</f>
        <v>3.7499999999999999E-2</v>
      </c>
      <c r="L43" s="35">
        <v>200</v>
      </c>
      <c r="M43" s="59"/>
    </row>
    <row r="44" spans="1:17" x14ac:dyDescent="0.2">
      <c r="A44" s="34">
        <v>2</v>
      </c>
      <c r="B44" s="4" t="s">
        <v>135</v>
      </c>
      <c r="C44" s="4"/>
      <c r="D44" s="4"/>
      <c r="E44" s="4"/>
      <c r="F44" s="4" t="s">
        <v>134</v>
      </c>
      <c r="G44" s="4"/>
      <c r="H44" s="36"/>
      <c r="I44" s="34"/>
      <c r="J44" s="62">
        <v>888918208</v>
      </c>
      <c r="K44" s="35">
        <f>17.28/100</f>
        <v>0.17280000000000001</v>
      </c>
      <c r="L44" s="35">
        <v>100</v>
      </c>
      <c r="M44" s="59"/>
    </row>
    <row r="45" spans="1:17" x14ac:dyDescent="0.2">
      <c r="A45" s="34">
        <v>5</v>
      </c>
      <c r="B45" s="35" t="s">
        <v>136</v>
      </c>
      <c r="C45" s="4"/>
      <c r="D45" s="4"/>
      <c r="E45" s="4"/>
      <c r="F45" s="4" t="s">
        <v>137</v>
      </c>
      <c r="G45" s="4"/>
      <c r="H45" s="36"/>
      <c r="I45" s="34"/>
      <c r="J45" s="62">
        <v>1800702995</v>
      </c>
      <c r="K45" s="35">
        <v>2.2800000000000001E-2</v>
      </c>
      <c r="L45" s="35">
        <v>1000</v>
      </c>
      <c r="M45" s="59"/>
    </row>
    <row r="46" spans="1:17" ht="13.5" thickBot="1" x14ac:dyDescent="0.25">
      <c r="A46" s="34">
        <v>2</v>
      </c>
      <c r="B46" s="35" t="s">
        <v>138</v>
      </c>
      <c r="C46" s="4"/>
      <c r="D46" s="4"/>
      <c r="E46" s="4"/>
      <c r="F46" s="4" t="s">
        <v>140</v>
      </c>
      <c r="G46" s="4"/>
      <c r="H46" s="36"/>
      <c r="I46" s="34"/>
      <c r="J46" s="4" t="s">
        <v>141</v>
      </c>
      <c r="K46" s="35">
        <v>2.1</v>
      </c>
      <c r="L46" s="35">
        <v>500</v>
      </c>
      <c r="M46" s="59"/>
    </row>
    <row r="47" spans="1:17" ht="13.5" thickBot="1" x14ac:dyDescent="0.25">
      <c r="A47" s="67" t="s">
        <v>145</v>
      </c>
      <c r="B47" s="64"/>
      <c r="C47" s="65"/>
      <c r="D47" s="65"/>
      <c r="E47" s="65"/>
      <c r="F47" s="65"/>
      <c r="G47" s="65"/>
      <c r="H47" s="65"/>
      <c r="I47" s="65"/>
      <c r="J47" s="65"/>
      <c r="K47" s="69">
        <f>SUMPRODUCT(A42:A46,K42:K46)</f>
        <v>4.9046000000000003</v>
      </c>
      <c r="L47" s="64"/>
      <c r="M47" s="70"/>
    </row>
    <row r="48" spans="1:17" x14ac:dyDescent="0.2">
      <c r="A48" s="4"/>
      <c r="B48" s="35"/>
      <c r="C48" s="4"/>
      <c r="D48" s="35"/>
      <c r="E48" s="4"/>
      <c r="F48" s="4"/>
      <c r="G48" s="4"/>
      <c r="H48" s="4"/>
      <c r="I48" s="62"/>
      <c r="K48" s="2"/>
      <c r="L48" s="2"/>
      <c r="M48" s="2"/>
    </row>
    <row r="49" spans="1:13" x14ac:dyDescent="0.2">
      <c r="A49" s="1" t="s">
        <v>128</v>
      </c>
      <c r="K49" s="2"/>
      <c r="L49" s="2"/>
      <c r="M49" s="2"/>
    </row>
    <row r="50" spans="1:13" x14ac:dyDescent="0.2">
      <c r="A50" s="30">
        <v>1</v>
      </c>
      <c r="B50" s="31" t="s">
        <v>64</v>
      </c>
      <c r="C50" s="32" t="s">
        <v>65</v>
      </c>
      <c r="D50" s="32" t="s">
        <v>64</v>
      </c>
      <c r="E50" s="32" t="s">
        <v>66</v>
      </c>
      <c r="F50" s="32"/>
      <c r="G50" s="32"/>
      <c r="H50" s="33"/>
      <c r="I50" s="30"/>
      <c r="J50" s="32"/>
      <c r="K50" s="31">
        <v>0</v>
      </c>
      <c r="L50" s="31"/>
      <c r="M50" s="52"/>
    </row>
    <row r="51" spans="1:13" x14ac:dyDescent="0.2">
      <c r="A51" s="34">
        <v>1</v>
      </c>
      <c r="B51" s="35" t="s">
        <v>67</v>
      </c>
      <c r="C51" s="4" t="s">
        <v>68</v>
      </c>
      <c r="D51" s="4" t="s">
        <v>67</v>
      </c>
      <c r="E51" s="4" t="s">
        <v>69</v>
      </c>
      <c r="F51" s="4" t="s">
        <v>70</v>
      </c>
      <c r="G51" s="4"/>
      <c r="H51" s="36"/>
      <c r="I51" s="34"/>
      <c r="J51" s="4"/>
      <c r="K51" s="35">
        <v>0</v>
      </c>
      <c r="L51" s="35"/>
      <c r="M51" s="59"/>
    </row>
    <row r="52" spans="1:13" ht="13.5" thickBot="1" x14ac:dyDescent="0.25">
      <c r="A52" s="34">
        <v>1</v>
      </c>
      <c r="B52" s="35" t="s">
        <v>67</v>
      </c>
      <c r="C52" s="4" t="s">
        <v>68</v>
      </c>
      <c r="D52" s="4" t="s">
        <v>67</v>
      </c>
      <c r="E52" s="4" t="s">
        <v>99</v>
      </c>
      <c r="F52" s="4" t="s">
        <v>70</v>
      </c>
      <c r="G52" s="4"/>
      <c r="H52" s="36"/>
      <c r="I52" s="34"/>
      <c r="J52" s="4"/>
      <c r="K52" s="35">
        <v>0</v>
      </c>
      <c r="L52" s="35"/>
      <c r="M52" s="59"/>
    </row>
    <row r="53" spans="1:13" ht="13.5" thickBot="1" x14ac:dyDescent="0.25">
      <c r="A53" s="67" t="s">
        <v>145</v>
      </c>
      <c r="B53" s="64"/>
      <c r="C53" s="65"/>
      <c r="D53" s="64"/>
      <c r="E53" s="65"/>
      <c r="F53" s="65"/>
      <c r="G53" s="65"/>
      <c r="H53" s="65"/>
      <c r="I53" s="66"/>
      <c r="J53" s="65"/>
      <c r="K53" s="69">
        <f>SUMPRODUCT(A50:A52,K50:K52)</f>
        <v>0</v>
      </c>
      <c r="L53" s="64"/>
      <c r="M53" s="70"/>
    </row>
    <row r="54" spans="1:13" ht="13.5" thickBot="1" x14ac:dyDescent="0.25">
      <c r="A54" s="27"/>
      <c r="K54" s="35"/>
      <c r="L54" s="2"/>
      <c r="M54" s="2"/>
    </row>
    <row r="55" spans="1:13" ht="13.5" thickBot="1" x14ac:dyDescent="0.25">
      <c r="A55" s="68" t="s">
        <v>149</v>
      </c>
      <c r="B55" s="64"/>
      <c r="C55" s="65"/>
      <c r="D55" s="65"/>
      <c r="E55" s="65"/>
      <c r="F55" s="65"/>
      <c r="G55" s="65"/>
      <c r="H55" s="65"/>
      <c r="I55" s="65"/>
      <c r="J55" s="65"/>
      <c r="K55" s="71">
        <f>SUM(K34,K47,K39)</f>
        <v>8.7072000000000003</v>
      </c>
      <c r="L55" s="64"/>
      <c r="M55" s="70"/>
    </row>
    <row r="57" spans="1:13" x14ac:dyDescent="0.2">
      <c r="A57" s="1" t="s">
        <v>130</v>
      </c>
    </row>
    <row r="58" spans="1:13" x14ac:dyDescent="0.2">
      <c r="A58" s="1"/>
      <c r="B58" s="15" t="s">
        <v>88</v>
      </c>
      <c r="C58" s="20" t="s">
        <v>112</v>
      </c>
      <c r="D58" s="20" t="s">
        <v>3</v>
      </c>
      <c r="E58" s="15" t="s">
        <v>86</v>
      </c>
      <c r="F58" s="15" t="s">
        <v>87</v>
      </c>
    </row>
    <row r="59" spans="1:13" x14ac:dyDescent="0.2">
      <c r="A59" s="17" t="s">
        <v>80</v>
      </c>
      <c r="B59" s="11">
        <v>31</v>
      </c>
      <c r="C59" s="6">
        <v>8</v>
      </c>
      <c r="D59" s="6">
        <v>805</v>
      </c>
      <c r="E59" s="11">
        <v>2</v>
      </c>
      <c r="F59" s="11">
        <f t="shared" ref="F59:F67" si="2">B59*E59</f>
        <v>62</v>
      </c>
    </row>
    <row r="60" spans="1:13" x14ac:dyDescent="0.2">
      <c r="A60" s="21"/>
      <c r="B60" s="12">
        <v>3</v>
      </c>
      <c r="C60" s="9">
        <v>1</v>
      </c>
      <c r="D60" s="9">
        <v>1206</v>
      </c>
      <c r="E60" s="12">
        <v>2</v>
      </c>
      <c r="F60" s="12">
        <f t="shared" si="2"/>
        <v>6</v>
      </c>
    </row>
    <row r="61" spans="1:13" x14ac:dyDescent="0.2">
      <c r="A61" s="22" t="s">
        <v>97</v>
      </c>
      <c r="B61" s="14">
        <v>10</v>
      </c>
      <c r="C61" s="29">
        <v>4</v>
      </c>
      <c r="D61" s="29" t="s">
        <v>98</v>
      </c>
      <c r="E61" s="14">
        <v>2</v>
      </c>
      <c r="F61" s="12">
        <f t="shared" si="2"/>
        <v>20</v>
      </c>
    </row>
    <row r="62" spans="1:13" x14ac:dyDescent="0.2">
      <c r="A62" s="21" t="s">
        <v>81</v>
      </c>
      <c r="B62" s="13">
        <v>10</v>
      </c>
      <c r="C62" s="7">
        <v>2</v>
      </c>
      <c r="D62" s="7" t="s">
        <v>27</v>
      </c>
      <c r="E62" s="13">
        <v>2</v>
      </c>
      <c r="F62" s="13">
        <f t="shared" si="2"/>
        <v>20</v>
      </c>
    </row>
    <row r="63" spans="1:13" x14ac:dyDescent="0.2">
      <c r="A63" s="17" t="s">
        <v>82</v>
      </c>
      <c r="B63" s="11">
        <v>2</v>
      </c>
      <c r="C63" s="6">
        <v>2</v>
      </c>
      <c r="D63" s="6" t="s">
        <v>44</v>
      </c>
      <c r="E63" s="11">
        <v>8</v>
      </c>
      <c r="F63" s="11">
        <f t="shared" si="2"/>
        <v>16</v>
      </c>
    </row>
    <row r="64" spans="1:13" x14ac:dyDescent="0.2">
      <c r="A64" s="23"/>
      <c r="B64" s="13">
        <v>1</v>
      </c>
      <c r="C64" s="7">
        <v>1</v>
      </c>
      <c r="D64" s="7" t="s">
        <v>59</v>
      </c>
      <c r="E64" s="13">
        <v>14</v>
      </c>
      <c r="F64" s="13">
        <f t="shared" si="2"/>
        <v>14</v>
      </c>
    </row>
    <row r="65" spans="1:9" x14ac:dyDescent="0.2">
      <c r="A65" s="23"/>
      <c r="B65" s="12">
        <v>3</v>
      </c>
      <c r="C65" s="9">
        <v>3</v>
      </c>
      <c r="D65" s="9" t="s">
        <v>37</v>
      </c>
      <c r="E65" s="12">
        <v>16</v>
      </c>
      <c r="F65" s="12">
        <f t="shared" si="2"/>
        <v>48</v>
      </c>
    </row>
    <row r="66" spans="1:9" x14ac:dyDescent="0.2">
      <c r="A66" s="16" t="s">
        <v>83</v>
      </c>
      <c r="B66" s="13">
        <v>2</v>
      </c>
      <c r="C66" s="8">
        <v>1</v>
      </c>
      <c r="D66" s="11" t="s">
        <v>51</v>
      </c>
      <c r="E66" s="13">
        <v>3</v>
      </c>
      <c r="F66" s="13">
        <f t="shared" si="2"/>
        <v>6</v>
      </c>
    </row>
    <row r="67" spans="1:9" ht="13.5" thickBot="1" x14ac:dyDescent="0.25">
      <c r="A67" s="24" t="s">
        <v>96</v>
      </c>
      <c r="B67" s="25">
        <v>7</v>
      </c>
      <c r="C67" s="26">
        <v>4</v>
      </c>
      <c r="D67" s="25" t="s">
        <v>7</v>
      </c>
      <c r="E67" s="25">
        <v>4</v>
      </c>
      <c r="F67" s="25">
        <f t="shared" si="2"/>
        <v>28</v>
      </c>
    </row>
    <row r="68" spans="1:9" ht="13.5" thickTop="1" x14ac:dyDescent="0.2">
      <c r="A68" s="43" t="s">
        <v>79</v>
      </c>
      <c r="B68" s="44">
        <f>SUM(B59:B67)</f>
        <v>69</v>
      </c>
      <c r="C68" s="44">
        <f>SUM(C59:C67)</f>
        <v>26</v>
      </c>
      <c r="D68" s="46">
        <v>8</v>
      </c>
      <c r="E68" s="18"/>
      <c r="F68" s="45">
        <f>SUM(F59:F67)</f>
        <v>220</v>
      </c>
    </row>
    <row r="69" spans="1:9" x14ac:dyDescent="0.2">
      <c r="A69" s="27"/>
      <c r="B69" s="28"/>
      <c r="C69" s="28"/>
      <c r="D69" s="4"/>
      <c r="E69" s="28"/>
      <c r="F69" s="28"/>
    </row>
    <row r="70" spans="1:9" x14ac:dyDescent="0.2">
      <c r="B70"/>
    </row>
    <row r="71" spans="1:9" x14ac:dyDescent="0.2">
      <c r="A71" s="3" t="s">
        <v>84</v>
      </c>
      <c r="B71" s="14">
        <v>1</v>
      </c>
      <c r="C71" s="14">
        <v>1</v>
      </c>
      <c r="D71" s="14" t="s">
        <v>85</v>
      </c>
      <c r="E71" s="14">
        <v>6</v>
      </c>
      <c r="F71" s="14">
        <f>B71*E71</f>
        <v>6</v>
      </c>
    </row>
    <row r="72" spans="1:9" ht="13.5" thickBot="1" x14ac:dyDescent="0.25">
      <c r="A72" s="10"/>
      <c r="B72" s="19">
        <v>1</v>
      </c>
      <c r="C72" s="19">
        <v>1</v>
      </c>
      <c r="D72" s="19" t="s">
        <v>68</v>
      </c>
      <c r="E72" s="19">
        <v>2</v>
      </c>
      <c r="F72" s="19">
        <f>B72*E72</f>
        <v>2</v>
      </c>
    </row>
    <row r="73" spans="1:9" ht="14.25" thickTop="1" thickBot="1" x14ac:dyDescent="0.25">
      <c r="A73" s="10"/>
      <c r="B73" s="19">
        <v>1</v>
      </c>
      <c r="C73" s="19">
        <v>1</v>
      </c>
      <c r="D73" s="19" t="s">
        <v>68</v>
      </c>
      <c r="E73" s="19">
        <v>2</v>
      </c>
      <c r="F73" s="19">
        <f>B73*E73</f>
        <v>2</v>
      </c>
    </row>
    <row r="74" spans="1:9" ht="13.5" thickTop="1" x14ac:dyDescent="0.2">
      <c r="A74" s="21" t="s">
        <v>79</v>
      </c>
      <c r="B74" s="18">
        <f>SUM(B71:B73)</f>
        <v>3</v>
      </c>
      <c r="C74" s="18">
        <f>SUM(C71:C73)</f>
        <v>3</v>
      </c>
      <c r="D74" s="18">
        <v>2</v>
      </c>
      <c r="E74" s="18"/>
      <c r="F74" s="18">
        <f>SUM(F71:F73)</f>
        <v>10</v>
      </c>
    </row>
    <row r="78" spans="1:9" x14ac:dyDescent="0.2">
      <c r="A78" s="1" t="s">
        <v>130</v>
      </c>
    </row>
    <row r="79" spans="1:9" x14ac:dyDescent="0.2">
      <c r="A79" s="1"/>
      <c r="B79" s="15" t="s">
        <v>88</v>
      </c>
      <c r="C79" s="20" t="s">
        <v>112</v>
      </c>
      <c r="D79" s="20" t="s">
        <v>3</v>
      </c>
      <c r="E79" s="3" t="s">
        <v>169</v>
      </c>
      <c r="F79" s="50" t="s">
        <v>170</v>
      </c>
      <c r="G79" s="50" t="s">
        <v>171</v>
      </c>
      <c r="H79" s="15" t="s">
        <v>86</v>
      </c>
      <c r="I79" s="15" t="s">
        <v>87</v>
      </c>
    </row>
    <row r="80" spans="1:9" x14ac:dyDescent="0.2">
      <c r="A80" s="17" t="s">
        <v>80</v>
      </c>
      <c r="B80" s="11">
        <v>31</v>
      </c>
      <c r="C80" s="6">
        <v>8</v>
      </c>
      <c r="D80" s="6">
        <v>805</v>
      </c>
      <c r="E80" s="104">
        <v>8</v>
      </c>
      <c r="F80" s="2"/>
      <c r="G80" s="2"/>
      <c r="H80" s="11">
        <v>2</v>
      </c>
      <c r="I80" s="11">
        <f t="shared" ref="I80:I88" si="3">B80*H80</f>
        <v>62</v>
      </c>
    </row>
    <row r="81" spans="1:9" x14ac:dyDescent="0.2">
      <c r="A81" s="21"/>
      <c r="B81" s="12">
        <v>3</v>
      </c>
      <c r="C81" s="9">
        <v>1</v>
      </c>
      <c r="D81" s="9">
        <v>1206</v>
      </c>
      <c r="E81" s="47">
        <v>1</v>
      </c>
      <c r="F81" s="2"/>
      <c r="G81" s="2"/>
      <c r="H81" s="12">
        <v>2</v>
      </c>
      <c r="I81" s="12">
        <f t="shared" si="3"/>
        <v>6</v>
      </c>
    </row>
    <row r="82" spans="1:9" x14ac:dyDescent="0.2">
      <c r="A82" s="22" t="s">
        <v>97</v>
      </c>
      <c r="B82" s="14">
        <v>10</v>
      </c>
      <c r="C82" s="29">
        <v>4</v>
      </c>
      <c r="D82" s="29" t="s">
        <v>98</v>
      </c>
      <c r="E82" s="55">
        <v>4</v>
      </c>
      <c r="F82" s="56"/>
      <c r="G82" s="57"/>
      <c r="H82" s="14">
        <v>2</v>
      </c>
      <c r="I82" s="12">
        <f t="shared" si="3"/>
        <v>20</v>
      </c>
    </row>
    <row r="83" spans="1:9" x14ac:dyDescent="0.2">
      <c r="A83" s="21" t="s">
        <v>81</v>
      </c>
      <c r="B83" s="13">
        <v>10</v>
      </c>
      <c r="C83" s="7">
        <v>2</v>
      </c>
      <c r="D83" s="7" t="s">
        <v>27</v>
      </c>
      <c r="F83" s="103">
        <v>2</v>
      </c>
      <c r="G83" s="52"/>
      <c r="H83" s="13">
        <v>2</v>
      </c>
      <c r="I83" s="13">
        <f t="shared" si="3"/>
        <v>20</v>
      </c>
    </row>
    <row r="84" spans="1:9" x14ac:dyDescent="0.2">
      <c r="A84" s="17" t="s">
        <v>82</v>
      </c>
      <c r="B84" s="11">
        <v>2</v>
      </c>
      <c r="C84" s="6">
        <v>2</v>
      </c>
      <c r="D84" s="6" t="s">
        <v>44</v>
      </c>
      <c r="E84" s="51"/>
      <c r="F84" s="106">
        <v>2</v>
      </c>
      <c r="G84" s="52"/>
      <c r="H84" s="11">
        <v>8</v>
      </c>
      <c r="I84" s="11">
        <f t="shared" si="3"/>
        <v>16</v>
      </c>
    </row>
    <row r="85" spans="1:9" x14ac:dyDescent="0.2">
      <c r="A85" s="23"/>
      <c r="B85" s="13">
        <v>1</v>
      </c>
      <c r="C85" s="7">
        <v>1</v>
      </c>
      <c r="D85" s="7" t="s">
        <v>59</v>
      </c>
      <c r="E85" s="58"/>
      <c r="F85" s="35"/>
      <c r="G85" s="59">
        <v>1</v>
      </c>
      <c r="H85" s="13">
        <v>14</v>
      </c>
      <c r="I85" s="13">
        <f t="shared" si="3"/>
        <v>14</v>
      </c>
    </row>
    <row r="86" spans="1:9" x14ac:dyDescent="0.2">
      <c r="A86" s="23"/>
      <c r="B86" s="12">
        <v>3</v>
      </c>
      <c r="C86" s="9">
        <v>3</v>
      </c>
      <c r="D86" s="9" t="s">
        <v>37</v>
      </c>
      <c r="E86" s="53"/>
      <c r="F86" s="37"/>
      <c r="G86" s="54">
        <v>3</v>
      </c>
      <c r="H86" s="12">
        <v>16</v>
      </c>
      <c r="I86" s="12">
        <f t="shared" si="3"/>
        <v>48</v>
      </c>
    </row>
    <row r="87" spans="1:9" x14ac:dyDescent="0.2">
      <c r="A87" s="16" t="s">
        <v>83</v>
      </c>
      <c r="B87" s="13">
        <v>2</v>
      </c>
      <c r="C87" s="8">
        <v>1</v>
      </c>
      <c r="D87" s="11" t="s">
        <v>51</v>
      </c>
      <c r="E87" s="103">
        <v>1</v>
      </c>
      <c r="F87" s="31"/>
      <c r="G87" s="52"/>
      <c r="H87" s="13">
        <v>3</v>
      </c>
      <c r="I87" s="13">
        <f t="shared" si="3"/>
        <v>6</v>
      </c>
    </row>
    <row r="88" spans="1:9" ht="13.5" thickBot="1" x14ac:dyDescent="0.25">
      <c r="A88" s="24" t="s">
        <v>96</v>
      </c>
      <c r="B88" s="25">
        <v>7</v>
      </c>
      <c r="C88" s="26">
        <v>4</v>
      </c>
      <c r="D88" s="25" t="s">
        <v>7</v>
      </c>
      <c r="E88" s="60"/>
      <c r="F88" s="105">
        <v>4</v>
      </c>
      <c r="G88" s="61"/>
      <c r="H88" s="25">
        <v>4</v>
      </c>
      <c r="I88" s="25">
        <f t="shared" si="3"/>
        <v>28</v>
      </c>
    </row>
    <row r="89" spans="1:9" ht="13.5" thickTop="1" x14ac:dyDescent="0.2">
      <c r="A89" s="43" t="s">
        <v>79</v>
      </c>
      <c r="B89" s="44">
        <f>SUM(B80:B88)</f>
        <v>69</v>
      </c>
      <c r="C89" s="44">
        <f>SUM(C80:C88)</f>
        <v>26</v>
      </c>
      <c r="D89" s="46">
        <v>8</v>
      </c>
      <c r="E89" s="44">
        <f>SUM(E80:E88)</f>
        <v>14</v>
      </c>
      <c r="F89" s="44">
        <f>SUM(F80:F88)</f>
        <v>8</v>
      </c>
      <c r="G89" s="44">
        <f>SUM(G80:G88)</f>
        <v>4</v>
      </c>
      <c r="H89" s="18"/>
      <c r="I89" s="45">
        <f>SUM(I80:I88)</f>
        <v>220</v>
      </c>
    </row>
    <row r="90" spans="1:9" x14ac:dyDescent="0.2">
      <c r="A90" s="27"/>
      <c r="B90" s="28"/>
      <c r="C90" s="28"/>
      <c r="D90" s="4"/>
      <c r="E90" s="2"/>
      <c r="F90" s="2"/>
      <c r="G90" s="2"/>
      <c r="H90" s="28"/>
      <c r="I90" s="28"/>
    </row>
    <row r="91" spans="1:9" x14ac:dyDescent="0.2">
      <c r="B91"/>
      <c r="E91" s="2"/>
      <c r="F91" s="2"/>
      <c r="G91" s="2"/>
    </row>
    <row r="92" spans="1:9" x14ac:dyDescent="0.2">
      <c r="A92" s="3" t="s">
        <v>84</v>
      </c>
      <c r="B92" s="14">
        <v>1</v>
      </c>
      <c r="C92" s="14">
        <v>1</v>
      </c>
      <c r="D92" s="14" t="s">
        <v>85</v>
      </c>
      <c r="E92" s="51"/>
      <c r="F92" s="31">
        <v>1</v>
      </c>
      <c r="G92" s="52"/>
      <c r="H92" s="14">
        <v>6</v>
      </c>
      <c r="I92" s="14">
        <f>B92*H92</f>
        <v>6</v>
      </c>
    </row>
    <row r="93" spans="1:9" ht="13.5" thickBot="1" x14ac:dyDescent="0.25">
      <c r="A93" s="10"/>
      <c r="B93" s="19">
        <v>1</v>
      </c>
      <c r="C93" s="19">
        <v>1</v>
      </c>
      <c r="D93" s="19" t="s">
        <v>68</v>
      </c>
      <c r="E93" s="58"/>
      <c r="F93" s="35">
        <v>1</v>
      </c>
      <c r="G93" s="59"/>
      <c r="H93" s="19">
        <v>2</v>
      </c>
      <c r="I93" s="19">
        <f>B93*H93</f>
        <v>2</v>
      </c>
    </row>
    <row r="94" spans="1:9" ht="14.25" thickTop="1" thickBot="1" x14ac:dyDescent="0.25">
      <c r="A94" s="10"/>
      <c r="B94" s="19">
        <v>1</v>
      </c>
      <c r="C94" s="19">
        <v>1</v>
      </c>
      <c r="D94" s="19" t="s">
        <v>68</v>
      </c>
      <c r="E94" s="53"/>
      <c r="F94" s="37">
        <v>1</v>
      </c>
      <c r="G94" s="54"/>
      <c r="H94" s="19">
        <v>2</v>
      </c>
      <c r="I94" s="19">
        <f>B94*H94</f>
        <v>2</v>
      </c>
    </row>
    <row r="95" spans="1:9" ht="13.5" thickTop="1" x14ac:dyDescent="0.2">
      <c r="A95" s="21" t="s">
        <v>79</v>
      </c>
      <c r="B95" s="18">
        <f>SUM(B92:B94)</f>
        <v>3</v>
      </c>
      <c r="C95" s="18">
        <f>SUM(C92:C94)</f>
        <v>3</v>
      </c>
      <c r="D95" s="18">
        <v>2</v>
      </c>
      <c r="E95" s="44">
        <f>SUM(E92:E94)</f>
        <v>0</v>
      </c>
      <c r="F95" s="44">
        <f>SUM(F92:F94)</f>
        <v>3</v>
      </c>
      <c r="G95" s="44">
        <f>SUM(G92:G94)</f>
        <v>0</v>
      </c>
      <c r="H95" s="18"/>
      <c r="I95" s="18">
        <f>SUM(I92:I94)</f>
        <v>10</v>
      </c>
    </row>
  </sheetData>
  <sortState ref="A2:N31">
    <sortCondition ref="D2:D31"/>
  </sortState>
  <mergeCells count="1">
    <mergeCell ref="Q25:Q32"/>
  </mergeCells>
  <hyperlinks>
    <hyperlink ref="I33" r:id="rId1" display="http://ch.farnell.com/webapp/wcs/stores/servlet/ProductDisplay?catalogId=15001&amp;langId=41&amp;urlRequestType=Base&amp;partNumber=2497996&amp;storeId=10178"/>
    <hyperlink ref="I30" r:id="rId2" display="http://ch.farnell.com/webapp/wcs/stores/servlet/ProductDisplay?catalogId=15001&amp;langId=41&amp;urlRequestType=Base&amp;partNumber=2498077&amp;storeId=10178"/>
    <hyperlink ref="I17" r:id="rId3" display="http://ch.farnell.com/webapp/wcs/stores/servlet/ProductDisplay?catalogId=15001&amp;langId=41&amp;urlRequestType=Base&amp;partNumber=2342417RL&amp;storeId=10178"/>
    <hyperlink ref="I28" r:id="rId4" tooltip="2498052" display="http://ch.farnell.com/walsin/wr08x1003ftl/dicksch-widerstand-100k-1-150v/dp/2498052"/>
    <hyperlink ref="I26" r:id="rId5" tooltip="2498051" display="http://ch.farnell.com/walsin/wr08x1002ftl/dicksch-widerstand-10k-1-150v/dp/2498051"/>
    <hyperlink ref="I25" r:id="rId6" tooltip="2498048" display="http://ch.farnell.com/walsin/wr08x10r0ftl/dicksch-widerstand-10r-1-150v/dp/2498048"/>
    <hyperlink ref="I29" r:id="rId7" tooltip="2498062" display="http://ch.farnell.com/walsin/wr08x1502ftl/dicksch-widerstand-15k-1-150v/dp/2498062"/>
    <hyperlink ref="I27" r:id="rId8" tooltip="2498050" display="http://ch.farnell.com/walsin/wr08x1001ftl/dicksch-widerstand-1k-1-150v-0805/dp/2498050"/>
    <hyperlink ref="I32" r:id="rId9" tooltip="2498105" display="http://ch.farnell.com/walsin/wr08x4701ftl/dicksch-widerstand-4k7-1-150v/dp/2498105"/>
    <hyperlink ref="I31" r:id="rId10" tooltip="2498084" display="http://ch.farnell.com/walsin/wr08x2702ftl/dicksch-widerstand-27k-1-150v/dp/2498084"/>
    <hyperlink ref="J15" r:id="rId11" display="32518015605"/>
    <hyperlink ref="J13" r:id="rId12" display="2024887597"/>
    <hyperlink ref="J23" r:id="rId13" display="32714846870"/>
    <hyperlink ref="J24" r:id="rId14" display="32716599879"/>
    <hyperlink ref="J18" r:id="rId15" display="32694256723"/>
    <hyperlink ref="J22" r:id="rId16" display="32590988708"/>
    <hyperlink ref="J9" r:id="rId17" display="32375506423"/>
    <hyperlink ref="J10" r:id="rId18" display="32376068362"/>
    <hyperlink ref="J11" r:id="rId19" display="32376068793"/>
    <hyperlink ref="J16" r:id="rId20" display="1245879199"/>
    <hyperlink ref="J21" r:id="rId21" display="32390023505"/>
    <hyperlink ref="J19" r:id="rId22" display="32667261685"/>
    <hyperlink ref="J20" r:id="rId23" display="32316697150"/>
    <hyperlink ref="J14" r:id="rId24" display="32686681723"/>
    <hyperlink ref="J12" r:id="rId25" display="32687291008"/>
    <hyperlink ref="J42" r:id="rId26" display="1246203110"/>
    <hyperlink ref="J43" r:id="rId27" display="32523580839"/>
    <hyperlink ref="J44" r:id="rId28" display="888918208"/>
    <hyperlink ref="J45" r:id="rId29" display="1800702995"/>
    <hyperlink ref="J37" r:id="rId30"/>
  </hyperlinks>
  <pageMargins left="0.7" right="0.7" top="0.78740157499999996" bottom="0.78740157499999996" header="0.3" footer="0.3"/>
  <pageSetup paperSize="8" orientation="landscape" r:id="rId3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BEP31_final_BOM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Gisler, Philipp</dc:creator>
  <cp:lastModifiedBy>Philipp Gisler</cp:lastModifiedBy>
  <cp:lastPrinted>2017-01-09T11:41:35Z</cp:lastPrinted>
  <dcterms:created xsi:type="dcterms:W3CDTF">2016-12-06T11:20:41Z</dcterms:created>
  <dcterms:modified xsi:type="dcterms:W3CDTF">2017-01-10T07:55:11Z</dcterms:modified>
</cp:coreProperties>
</file>
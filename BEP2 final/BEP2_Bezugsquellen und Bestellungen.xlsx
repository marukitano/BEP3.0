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795" yWindow="2445" windowWidth="29040" windowHeight="11040"/>
  </bookViews>
  <sheets>
    <sheet name="BMW_final" sheetId="1" r:id="rId1"/>
  </sheets>
  <calcPr calcId="145621"/>
</workbook>
</file>

<file path=xl/calcChain.xml><?xml version="1.0" encoding="utf-8"?>
<calcChain xmlns="http://schemas.openxmlformats.org/spreadsheetml/2006/main">
  <c r="H2" i="1" l="1"/>
  <c r="J2" i="1" s="1"/>
  <c r="H3" i="1"/>
  <c r="J3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J26" i="1" l="1"/>
  <c r="J27" i="1" s="1"/>
</calcChain>
</file>

<file path=xl/sharedStrings.xml><?xml version="1.0" encoding="utf-8"?>
<sst xmlns="http://schemas.openxmlformats.org/spreadsheetml/2006/main" count="212" uniqueCount="170">
  <si>
    <t>Value</t>
  </si>
  <si>
    <t>Device</t>
  </si>
  <si>
    <t>Package</t>
  </si>
  <si>
    <t>Parts</t>
  </si>
  <si>
    <t>Description</t>
  </si>
  <si>
    <t>2081-1132</t>
  </si>
  <si>
    <t>12-PIN</t>
  </si>
  <si>
    <t>1, 2</t>
  </si>
  <si>
    <t>WAGO SREW CLAMP</t>
  </si>
  <si>
    <t>CON_BMW</t>
  </si>
  <si>
    <t>24-PIN</t>
  </si>
  <si>
    <t>X1</t>
  </si>
  <si>
    <t>MMBTA42LT1-NPN-SOT23-BEC</t>
  </si>
  <si>
    <t>SOT23-BEC</t>
  </si>
  <si>
    <t>T1, T2, T4, T5, T6, T7, T8, T9, T10, T11, T12</t>
  </si>
  <si>
    <t>NPN Transistror</t>
  </si>
  <si>
    <t>R-EU_R0805</t>
  </si>
  <si>
    <t>R0805</t>
  </si>
  <si>
    <t>RESISTOR, European symbol</t>
  </si>
  <si>
    <t>CAPACITOR, European symbol</t>
  </si>
  <si>
    <t>100k</t>
  </si>
  <si>
    <t>R10, R12, R14, R23, R29, R30, R31</t>
  </si>
  <si>
    <t>100u</t>
  </si>
  <si>
    <t>C-EUC1206K</t>
  </si>
  <si>
    <t>C1206K</t>
  </si>
  <si>
    <t>C2, C3</t>
  </si>
  <si>
    <t>10k</t>
  </si>
  <si>
    <t>R-EU_0207/10</t>
  </si>
  <si>
    <t>0207/10</t>
  </si>
  <si>
    <t>R18</t>
  </si>
  <si>
    <t>15k</t>
  </si>
  <si>
    <t>R6, R15</t>
  </si>
  <si>
    <t>1k</t>
  </si>
  <si>
    <t>22-23-2021</t>
  </si>
  <si>
    <t>X2</t>
  </si>
  <si>
    <t>.100 (2.54mm) Center Header - 2 Pin"</t>
  </si>
  <si>
    <t>27k</t>
  </si>
  <si>
    <t>R7, R8, R9, R19, R21, R37</t>
  </si>
  <si>
    <t>317T</t>
  </si>
  <si>
    <t>TO220H</t>
  </si>
  <si>
    <t>IC4</t>
  </si>
  <si>
    <t>Positive VOLTAGE REGULATOR</t>
  </si>
  <si>
    <t>4.7k</t>
  </si>
  <si>
    <t>R1,R17</t>
  </si>
  <si>
    <t>4.7u</t>
  </si>
  <si>
    <t>C-EUC0805K</t>
  </si>
  <si>
    <t>C0805K</t>
  </si>
  <si>
    <t>C1B</t>
  </si>
  <si>
    <t>4028D</t>
  </si>
  <si>
    <t>SO16</t>
  </si>
  <si>
    <t>IC3</t>
  </si>
  <si>
    <t>BCD to decimal DECODER</t>
  </si>
  <si>
    <t>R-EU_V235/17</t>
  </si>
  <si>
    <t>V235/17</t>
  </si>
  <si>
    <t>R27, R28</t>
  </si>
  <si>
    <t>R40, R41</t>
  </si>
  <si>
    <t>68nF</t>
  </si>
  <si>
    <t>C4, C5</t>
  </si>
  <si>
    <t>6V pos</t>
  </si>
  <si>
    <t>78LXX</t>
  </si>
  <si>
    <t>IC1</t>
  </si>
  <si>
    <t>VOLTAGE REGULATOR</t>
  </si>
  <si>
    <t>BCP53T1</t>
  </si>
  <si>
    <t>SOT223</t>
  </si>
  <si>
    <t>T, T3, T13, T14</t>
  </si>
  <si>
    <t>GF1</t>
  </si>
  <si>
    <t>SMA-DO214AC</t>
  </si>
  <si>
    <t>D1, D2, D3, D4, D5, D6, D7, D9</t>
  </si>
  <si>
    <t>DIODE</t>
  </si>
  <si>
    <t>LM2904</t>
  </si>
  <si>
    <t>LM358D</t>
  </si>
  <si>
    <t>SO08</t>
  </si>
  <si>
    <t>IC5,IC2</t>
  </si>
  <si>
    <t>OP AMP also LM158; LM258; LM2904</t>
  </si>
  <si>
    <t>http://www.reichelt.de/WAGO-2081-1132/3/index.html?&amp;ACTION=3&amp;LA=446&amp;ARTICLE=136698&amp;artnr=WAGO+2081-1132&amp;SEARCH=Klemmleiste+12-polig</t>
  </si>
  <si>
    <t>Number Boards</t>
  </si>
  <si>
    <t>tot number Parts</t>
  </si>
  <si>
    <t>unit Price</t>
  </si>
  <si>
    <t>total Price</t>
  </si>
  <si>
    <t>R2, R3, R4, R5, R16, R25, R26, R32, R33, R34, R35, R36</t>
  </si>
  <si>
    <t>R13, R24, R38</t>
  </si>
  <si>
    <t>link</t>
  </si>
  <si>
    <t>WAGO 2081-1132</t>
  </si>
  <si>
    <t>Reichelt Art Nr.</t>
  </si>
  <si>
    <t>http://www.reichelt.de/SMD-0805-10-0-k-Ohm-82-0-k-Ohm/SMD-0805-15-0K/3/index.html?&amp;ACTION=3&amp;LA=2&amp;ARTICLE=32900&amp;GROUPID=3098&amp;artnr=SMD-0805+15%2C0K</t>
  </si>
  <si>
    <t>http://www.reichelt.de/SB-SKE-4F-Dioden/S-1G-SMD/3/index.html?&amp;ACTION=3&amp;LA=2&amp;ARTICLE=95354&amp;GROUPID=2991&amp;artnr=S+1G+SMD</t>
  </si>
  <si>
    <t>http://www.reichelt.de/LM-317-220-SG/3/index.html?&amp;ACTION=3&amp;LA=446&amp;ARTICLE=120703&amp;artnr=LM+317-220+SG&amp;SEARCH=317</t>
  </si>
  <si>
    <t>http://www.reichelt.de/SMD-4028/3/index.html?&amp;ACTION=3&amp;LA=446&amp;ARTICLE=18455&amp;artnr=SMD+4028&amp;SEARCH=4028</t>
  </si>
  <si>
    <t>Gehäuse</t>
  </si>
  <si>
    <t>http://www.reichelt.de/X7R-G1206-100N/3/index.html?&amp;ACTION=3&amp;LA=446&amp;ARTICLE=22889&amp;artnr=X7R-G1206+100N&amp;SEARCH=x7r-g1206</t>
  </si>
  <si>
    <t>http://www.reichelt.de/Vielschicht-SMD-G1206-High-Cap/X5R-G1206-100-6/3/index.html?&amp;ACTION=3&amp;LA=2&amp;ARTICLE=89744&amp;GROUPID=4340&amp;artnr=X5R-G1206+100%2F6</t>
  </si>
  <si>
    <t>BMW CONNECTOR (self made)</t>
  </si>
  <si>
    <t>SMBTA 42 SMD</t>
  </si>
  <si>
    <t>https://secure.reichelt.de/index.html?ACTION=3;ARTICLE=41828;SEARCH=SMBTA%2042%20SMD</t>
  </si>
  <si>
    <t>BCP 53-16 SMD</t>
  </si>
  <si>
    <t>https://secure.reichelt.de/index.html?ACTION=3;ARTICLE=41323;SEARCH=BCP%2053-16%20SMD</t>
  </si>
  <si>
    <t>S 1G SMD</t>
  </si>
  <si>
    <t>LM 2904 D</t>
  </si>
  <si>
    <t>https://www.reichelt.de/LM-2904-D/3/index.html?&amp;ACTION=3&amp;LA=446&amp;ARTICLE=109387&amp;artnr=LM+2904+D&amp;SEARCH=lm2904</t>
  </si>
  <si>
    <t>SMD 4028</t>
  </si>
  <si>
    <t>µA 78L06</t>
  </si>
  <si>
    <t>http://www.reichelt.de/-A-78L06/3/index.html?&amp;ACTION=3&amp;LA=446&amp;ARTICLE=23471&amp;artnr=%C2%B5A+78L06&amp;SEARCH=78L06</t>
  </si>
  <si>
    <t>LM 317-220 SG</t>
  </si>
  <si>
    <t>SMD-0805 15,0K</t>
  </si>
  <si>
    <t>SMD-0805 4,70K</t>
  </si>
  <si>
    <t>http://www.reichelt.de/SMD-0805-1-00-k-Ohm-8-20-k-Ohm/SMD-0805-4-70K/3/index.html?&amp;ACTION=3&amp;LA=2&amp;ARTICLE=32894&amp;GROUPID=3097&amp;artnr=SMD-0805+4%2C70K</t>
  </si>
  <si>
    <t>SMD-0805 6,80</t>
  </si>
  <si>
    <t>http://www.reichelt.de/SMD-0805-1-00-Ohm-8-20-Ohm/SMD-0805-6-80/3/index.html?&amp;ACTION=3&amp;LA=2&amp;ARTICLE=33335&amp;GROUPID=3094&amp;artnr=SMD-0805+6%2C80</t>
  </si>
  <si>
    <t>X5R-G1206 100/6</t>
  </si>
  <si>
    <t>X7R-G1206 68N</t>
  </si>
  <si>
    <t>X5R-G0805 4,7</t>
  </si>
  <si>
    <t>http://www.reichelt.de/Vielschicht-SMD-G1206/X7R-G1206-68N/3/index.html?ACTION=3;ARTICLE=107465;SEARCH=X5R-G0805%204,7</t>
  </si>
  <si>
    <t>SP 2000 SW</t>
  </si>
  <si>
    <t>http://www.reichelt.de/SP-2000-SW/3/index.html?&amp;ACTION=3&amp;LA=446&amp;ARTICLE=33824&amp;artnr=SP+2000+SW&amp;SEARCH=SP+2000+SW</t>
  </si>
  <si>
    <t>2W METALL 47</t>
  </si>
  <si>
    <t>http://www.reichelt.de/2W-METALL-47/3/index.html?&amp;ACTION=3&amp;LA=446&amp;ARTICLE=2353&amp;artnr=2W+METALL+47&amp;SEARCH=2W+metall+47</t>
  </si>
  <si>
    <t>METALL 13,0</t>
  </si>
  <si>
    <t>http://www.reichelt.de/1-4W-1-10-0-Ohm-97-6-Ohm/METALL-13-0/3/index.html?&amp;ACTION=3&amp;LA=2&amp;ARTICLE=11497&amp;GROUPID=3076&amp;artnr=METALL+13%2C0</t>
  </si>
  <si>
    <t>SL 1X50G 2,54</t>
  </si>
  <si>
    <t>http://www.reichelt.de/Stiftleisten/SL-1X50G-2-54/3/index.html?&amp;ACTION=3&amp;LA=2&amp;ARTICLE=19508&amp;GROUPID=3220&amp;artnr=SL+1X50G+2%2C54&amp;SEARCH=STIFTLEISTE</t>
  </si>
  <si>
    <t>Qty/Board</t>
  </si>
  <si>
    <t>ohne MWST</t>
  </si>
  <si>
    <t>mit MWST</t>
  </si>
  <si>
    <t>280614-1</t>
  </si>
  <si>
    <t>Bürklin Stecker 12pin TE CONNECTIVITY 12P MOD 1 SHROUDED HEADER</t>
  </si>
  <si>
    <t>Ihre bestellten Artikel:</t>
  </si>
  <si>
    <t>Artikelnummer</t>
  </si>
  <si>
    <t>Bezeichnung</t>
  </si>
  <si>
    <t>Anzahl</t>
  </si>
  <si>
    <t>Gesamtpreis</t>
  </si>
  <si>
    <t>Transistor SMD PNP SOT-223 80V 1A 1,3W</t>
  </si>
  <si>
    <t>88,20 €</t>
  </si>
  <si>
    <t>(88,20 €  netto)</t>
  </si>
  <si>
    <t>Transistor SMD NPN SOT-23 300V 0,5A 0,36W</t>
  </si>
  <si>
    <t>126,00 €</t>
  </si>
  <si>
    <t>(126,00 €  netto)</t>
  </si>
  <si>
    <t>Spannungsregler 0,1A positiv, TO-92</t>
  </si>
  <si>
    <t>28,34 €</t>
  </si>
  <si>
    <t>(28,34 €  netto)</t>
  </si>
  <si>
    <t>Spannungsregler, TO-220, Single Gauge</t>
  </si>
  <si>
    <t>48,10 €</t>
  </si>
  <si>
    <t>(48,10 €  netto)</t>
  </si>
  <si>
    <t>Si-Gleichrichterdiode, DO214AC, 400V, 1A</t>
  </si>
  <si>
    <t>69,70 €</t>
  </si>
  <si>
    <t>(69,70 €  netto)</t>
  </si>
  <si>
    <t>Metalloxidschicht-Widerstand 2W, 5% 47 Ohm</t>
  </si>
  <si>
    <t>38,00 €</t>
  </si>
  <si>
    <t>(38,00 €  netto)</t>
  </si>
  <si>
    <t>SMD-Vielschichtkondensator G0805-4,7UF 25V</t>
  </si>
  <si>
    <t>11,34 €</t>
  </si>
  <si>
    <t>(11,34 €  netto)</t>
  </si>
  <si>
    <t>SMD-Vielschichtkondensator G1206 - 100µF 6,3V</t>
  </si>
  <si>
    <t>113,36 €</t>
  </si>
  <si>
    <t>(113,36 €  netto)</t>
  </si>
  <si>
    <t>Leiterplattenklemme 12-polig, 1,5mm² , grau</t>
  </si>
  <si>
    <t>430,75 €</t>
  </si>
  <si>
    <t>(430,75 €  netto)</t>
  </si>
  <si>
    <t>ABS-Etui-Gehäuse 103x62x26mm, schwarz</t>
  </si>
  <si>
    <t>241,63 €</t>
  </si>
  <si>
    <t>(241,63 €  netto)</t>
  </si>
  <si>
    <t>Warenwert</t>
  </si>
  <si>
    <t>1.195,42 €</t>
  </si>
  <si>
    <t>(1.195,42 €  netto)</t>
  </si>
  <si>
    <t>Rabatt</t>
  </si>
  <si>
    <t>-119,46 €</t>
  </si>
  <si>
    <t>Versandkosten</t>
  </si>
  <si>
    <t>18,50 €</t>
  </si>
  <si>
    <t>(18,50 €  netto)</t>
  </si>
  <si>
    <t>1.094,45 €</t>
  </si>
  <si>
    <t>(1.094,45 €  netto)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</si>
</sst>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b/>
      <sz val="12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9">
    <xf numFmtId="0" fontId="0" fillId="0" borderId="0" xfId="0"/>
    <xf numFmtId="0" fontId="18" fillId="0" borderId="0" xfId="42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5" borderId="0" xfId="0" applyFill="1" applyAlignment="1">
      <alignment wrapText="1"/>
    </xf>
    <xf numFmtId="0" fontId="19" fillId="0" borderId="0" xfId="0" applyFont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right" vertical="center" wrapText="1"/>
    </xf>
    <xf numFmtId="0" fontId="0" fillId="0" borderId="11" xfId="0" applyBorder="1" applyAlignment="1">
      <alignment horizontal="right" vertical="center" wrapText="1"/>
    </xf>
    <xf numFmtId="0" fontId="0" fillId="0" borderId="12" xfId="0" applyBorder="1" applyAlignment="1">
      <alignment horizontal="right" vertical="center" wrapText="1"/>
    </xf>
    <xf numFmtId="0" fontId="16" fillId="0" borderId="11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1" xfId="0" applyBorder="1" applyAlignment="1">
      <alignment horizontal="right" vertical="center" wrapText="1"/>
    </xf>
    <xf numFmtId="0" fontId="0" fillId="0" borderId="12" xfId="0" applyBorder="1" applyAlignment="1">
      <alignment horizontal="right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horizontal="right" vertical="center" wrapText="1"/>
    </xf>
    <xf numFmtId="0" fontId="0" fillId="0" borderId="17" xfId="0" applyBorder="1" applyAlignment="1">
      <alignment horizontal="right" vertical="center" wrapText="1"/>
    </xf>
    <xf numFmtId="0" fontId="0" fillId="0" borderId="18" xfId="0" applyBorder="1" applyAlignment="1">
      <alignment horizontal="right" vertical="center" wrapText="1"/>
    </xf>
    <xf numFmtId="0" fontId="0" fillId="0" borderId="19" xfId="0" applyBorder="1" applyAlignment="1">
      <alignment horizontal="right" vertical="center" wrapText="1"/>
    </xf>
    <xf numFmtId="0" fontId="0" fillId="0" borderId="20" xfId="0" applyBorder="1" applyAlignment="1">
      <alignment horizontal="right" vertical="center" wrapText="1"/>
    </xf>
    <xf numFmtId="0" fontId="0" fillId="0" borderId="21" xfId="0" applyBorder="1" applyAlignment="1">
      <alignment horizontal="right" vertical="center" wrapText="1"/>
    </xf>
    <xf numFmtId="0" fontId="0" fillId="0" borderId="13" xfId="0" applyBorder="1" applyAlignment="1">
      <alignment horizontal="right" vertical="center" wrapText="1"/>
    </xf>
    <xf numFmtId="0" fontId="0" fillId="0" borderId="14" xfId="0" applyBorder="1" applyAlignment="1">
      <alignment horizontal="right" vertical="center" wrapText="1"/>
    </xf>
    <xf numFmtId="0" fontId="0" fillId="0" borderId="15" xfId="0" applyBorder="1" applyAlignment="1">
      <alignment horizontal="right" vertical="center" wrapText="1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14</xdr:col>
      <xdr:colOff>132308</xdr:colOff>
      <xdr:row>83</xdr:row>
      <xdr:rowOff>8411</xdr:rowOff>
    </xdr:to>
    <xdr:pic>
      <xdr:nvPicPr>
        <xdr:cNvPr id="8" name="Grafik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33900"/>
          <a:ext cx="8342858" cy="89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83</xdr:row>
      <xdr:rowOff>57150</xdr:rowOff>
    </xdr:from>
    <xdr:to>
      <xdr:col>14</xdr:col>
      <xdr:colOff>313264</xdr:colOff>
      <xdr:row>102</xdr:row>
      <xdr:rowOff>256356</xdr:rowOff>
    </xdr:to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4630400"/>
          <a:ext cx="8485714" cy="6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20</xdr:col>
      <xdr:colOff>722213</xdr:colOff>
      <xdr:row>178</xdr:row>
      <xdr:rowOff>8452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1374100"/>
          <a:ext cx="13504763" cy="85904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18</xdr:col>
      <xdr:colOff>427225</xdr:colOff>
      <xdr:row>231</xdr:row>
      <xdr:rowOff>122879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0" y="31089600"/>
          <a:ext cx="11209525" cy="75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ichelt.de/LM-2904-D/3/index.html?&amp;ACTION=3&amp;LA=446&amp;ARTICLE=109387&amp;artnr=LM+2904+D&amp;SEARCH=lm2904" TargetMode="External"/><Relationship Id="rId13" Type="http://schemas.openxmlformats.org/officeDocument/2006/relationships/hyperlink" Target="http://www.reichelt.de/1-4W-1-10-0-Ohm-97-6-Ohm/METALL-13-0/3/index.html?&amp;ACTION=3&amp;LA=2&amp;ARTICLE=11497&amp;GROUPID=3076&amp;artnr=METALL+13%2C0" TargetMode="External"/><Relationship Id="rId3" Type="http://schemas.openxmlformats.org/officeDocument/2006/relationships/hyperlink" Target="http://www.reichelt.de/LM-317-220-SG/3/index.html?&amp;ACTION=3&amp;LA=446&amp;ARTICLE=120703&amp;artnr=LM+317-220+SG&amp;SEARCH=317" TargetMode="External"/><Relationship Id="rId7" Type="http://schemas.openxmlformats.org/officeDocument/2006/relationships/hyperlink" Target="http://www.reichelt.de/Vielschicht-SMD-G1206-High-Cap/X5R-G1206-100-6/3/index.html?&amp;ACTION=3&amp;LA=2&amp;ARTICLE=89744&amp;GROUPID=4340&amp;artnr=X5R-G1206+100%2F6" TargetMode="External"/><Relationship Id="rId12" Type="http://schemas.openxmlformats.org/officeDocument/2006/relationships/hyperlink" Target="http://www.reichelt.de/2W-METALL-47/3/index.html?&amp;ACTION=3&amp;LA=446&amp;ARTICLE=2353&amp;artnr=2W+METALL+47&amp;SEARCH=2W+metall+47" TargetMode="External"/><Relationship Id="rId2" Type="http://schemas.openxmlformats.org/officeDocument/2006/relationships/hyperlink" Target="http://www.reichelt.de/SMD-0805-10-0-k-Ohm-82-0-k-Ohm/SMD-0805-15-0K/3/index.html?&amp;ACTION=3&amp;LA=2&amp;ARTICLE=32900&amp;GROUPID=3098&amp;artnr=SMD-0805+15%2C0K" TargetMode="External"/><Relationship Id="rId1" Type="http://schemas.openxmlformats.org/officeDocument/2006/relationships/hyperlink" Target="http://www.reichelt.de/WAGO-2081-1132/3/index.html?&amp;ACTION=3&amp;LA=446&amp;ARTICLE=136698&amp;artnr=WAGO+2081-1132&amp;SEARCH=Klemmleiste+12-polig" TargetMode="External"/><Relationship Id="rId6" Type="http://schemas.openxmlformats.org/officeDocument/2006/relationships/hyperlink" Target="http://www.reichelt.de/X7R-G1206-100N/3/index.html?&amp;ACTION=3&amp;LA=446&amp;ARTICLE=22889&amp;artnr=X7R-G1206+100N&amp;SEARCH=x7r-g1206" TargetMode="External"/><Relationship Id="rId11" Type="http://schemas.openxmlformats.org/officeDocument/2006/relationships/hyperlink" Target="http://www.reichelt.de/Vielschicht-SMD-G1206/X7R-G1206-68N/3/index.html?ACTION=3;ARTICLE=107465;SEARCH=X5R-G0805%204,7" TargetMode="External"/><Relationship Id="rId5" Type="http://schemas.openxmlformats.org/officeDocument/2006/relationships/hyperlink" Target="http://www.reichelt.de/SB-SKE-4F-Dioden/S-1G-SMD/3/index.html?&amp;ACTION=3&amp;LA=2&amp;ARTICLE=95354&amp;GROUPID=2991&amp;artnr=S+1G+SMD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://www.reichelt.de/SMD-0805-1-00-Ohm-8-20-Ohm/SMD-0805-6-80/3/index.html?&amp;ACTION=3&amp;LA=2&amp;ARTICLE=33335&amp;GROUPID=3094&amp;artnr=SMD-0805+6%2C80" TargetMode="External"/><Relationship Id="rId4" Type="http://schemas.openxmlformats.org/officeDocument/2006/relationships/hyperlink" Target="http://www.reichelt.de/SMD-4028/3/index.html?&amp;ACTION=3&amp;LA=446&amp;ARTICLE=18455&amp;artnr=SMD+4028&amp;SEARCH=4028" TargetMode="External"/><Relationship Id="rId9" Type="http://schemas.openxmlformats.org/officeDocument/2006/relationships/hyperlink" Target="http://www.reichelt.de/-A-78L06/3/index.html?&amp;ACTION=3&amp;LA=446&amp;ARTICLE=23471&amp;artnr=%C2%B5A+78L06&amp;SEARCH=78L06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S116"/>
  <sheetViews>
    <sheetView tabSelected="1" topLeftCell="A148" workbookViewId="0">
      <selection activeCell="U116" sqref="U116"/>
    </sheetView>
  </sheetViews>
  <sheetFormatPr baseColWidth="10" defaultRowHeight="12.75" x14ac:dyDescent="0.2"/>
  <cols>
    <col min="1" max="1" width="7.140625" customWidth="1"/>
    <col min="2" max="2" width="6" customWidth="1"/>
    <col min="3" max="4" width="5.7109375" customWidth="1"/>
    <col min="5" max="5" width="6.140625" customWidth="1"/>
    <col min="6" max="6" width="11.140625" customWidth="1"/>
    <col min="7" max="7" width="7.7109375" customWidth="1"/>
    <col min="8" max="8" width="7.5703125" customWidth="1"/>
    <col min="9" max="9" width="9" customWidth="1"/>
    <col min="10" max="10" width="7.5703125" customWidth="1"/>
    <col min="11" max="11" width="15.140625" customWidth="1"/>
  </cols>
  <sheetData>
    <row r="1" spans="1:12" x14ac:dyDescent="0.2">
      <c r="A1" t="s">
        <v>120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75</v>
      </c>
      <c r="H1" t="s">
        <v>76</v>
      </c>
      <c r="I1" t="s">
        <v>77</v>
      </c>
      <c r="J1" t="s">
        <v>78</v>
      </c>
      <c r="K1" t="s">
        <v>83</v>
      </c>
      <c r="L1" t="s">
        <v>81</v>
      </c>
    </row>
    <row r="2" spans="1:12" x14ac:dyDescent="0.2">
      <c r="A2" s="2">
        <v>2</v>
      </c>
      <c r="C2" t="s">
        <v>5</v>
      </c>
      <c r="D2" t="s">
        <v>6</v>
      </c>
      <c r="E2" t="s">
        <v>7</v>
      </c>
      <c r="F2" t="s">
        <v>8</v>
      </c>
      <c r="G2">
        <v>250</v>
      </c>
      <c r="H2">
        <f t="shared" ref="H2:H25" si="0">A2*G2</f>
        <v>500</v>
      </c>
      <c r="I2">
        <v>2.0499999999999998</v>
      </c>
      <c r="J2">
        <f>H2*I2</f>
        <v>1025</v>
      </c>
      <c r="K2" t="s">
        <v>82</v>
      </c>
      <c r="L2" s="1" t="s">
        <v>74</v>
      </c>
    </row>
    <row r="3" spans="1:12" x14ac:dyDescent="0.2">
      <c r="A3" s="2">
        <v>11</v>
      </c>
      <c r="C3" t="s">
        <v>12</v>
      </c>
      <c r="D3" t="s">
        <v>13</v>
      </c>
      <c r="E3" t="s">
        <v>14</v>
      </c>
      <c r="F3" t="s">
        <v>15</v>
      </c>
      <c r="G3">
        <v>250</v>
      </c>
      <c r="H3">
        <f t="shared" si="0"/>
        <v>2750</v>
      </c>
      <c r="I3">
        <v>0.04</v>
      </c>
      <c r="J3">
        <f t="shared" ref="J3:J25" si="1">H3*I3</f>
        <v>110</v>
      </c>
      <c r="K3" t="s">
        <v>92</v>
      </c>
      <c r="L3" t="s">
        <v>93</v>
      </c>
    </row>
    <row r="4" spans="1:12" x14ac:dyDescent="0.2">
      <c r="A4" s="2">
        <v>4</v>
      </c>
      <c r="B4" t="s">
        <v>62</v>
      </c>
      <c r="C4" t="s">
        <v>62</v>
      </c>
      <c r="D4" t="s">
        <v>63</v>
      </c>
      <c r="E4" t="s">
        <v>64</v>
      </c>
      <c r="G4">
        <v>250</v>
      </c>
      <c r="H4">
        <f t="shared" si="0"/>
        <v>1000</v>
      </c>
      <c r="I4">
        <v>0.1</v>
      </c>
      <c r="J4">
        <f t="shared" si="1"/>
        <v>100</v>
      </c>
      <c r="K4" t="s">
        <v>94</v>
      </c>
      <c r="L4" t="s">
        <v>95</v>
      </c>
    </row>
    <row r="5" spans="1:12" x14ac:dyDescent="0.2">
      <c r="A5" s="2">
        <v>8</v>
      </c>
      <c r="B5" t="s">
        <v>65</v>
      </c>
      <c r="C5" t="s">
        <v>65</v>
      </c>
      <c r="D5" t="s">
        <v>66</v>
      </c>
      <c r="E5" t="s">
        <v>67</v>
      </c>
      <c r="F5" t="s">
        <v>68</v>
      </c>
      <c r="G5">
        <v>250</v>
      </c>
      <c r="H5">
        <f t="shared" si="0"/>
        <v>2000</v>
      </c>
      <c r="I5">
        <v>0.04</v>
      </c>
      <c r="J5">
        <f t="shared" si="1"/>
        <v>80</v>
      </c>
      <c r="K5" t="s">
        <v>96</v>
      </c>
      <c r="L5" s="1" t="s">
        <v>85</v>
      </c>
    </row>
    <row r="6" spans="1:12" x14ac:dyDescent="0.2">
      <c r="A6" s="2">
        <v>2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  <c r="G6">
        <v>250</v>
      </c>
      <c r="H6">
        <f t="shared" si="0"/>
        <v>500</v>
      </c>
      <c r="I6">
        <v>0.18</v>
      </c>
      <c r="J6">
        <f t="shared" si="1"/>
        <v>90</v>
      </c>
      <c r="K6" t="s">
        <v>97</v>
      </c>
      <c r="L6" s="1" t="s">
        <v>98</v>
      </c>
    </row>
    <row r="7" spans="1:12" x14ac:dyDescent="0.2">
      <c r="A7" s="2">
        <v>1</v>
      </c>
      <c r="B7" t="s">
        <v>48</v>
      </c>
      <c r="C7" t="s">
        <v>48</v>
      </c>
      <c r="D7" t="s">
        <v>49</v>
      </c>
      <c r="E7" t="s">
        <v>50</v>
      </c>
      <c r="F7" t="s">
        <v>51</v>
      </c>
      <c r="G7">
        <v>250</v>
      </c>
      <c r="H7">
        <f t="shared" si="0"/>
        <v>250</v>
      </c>
      <c r="I7">
        <v>0.34</v>
      </c>
      <c r="J7">
        <f t="shared" si="1"/>
        <v>85</v>
      </c>
      <c r="K7" t="s">
        <v>99</v>
      </c>
      <c r="L7" s="1" t="s">
        <v>87</v>
      </c>
    </row>
    <row r="8" spans="1:12" x14ac:dyDescent="0.2">
      <c r="A8" s="2">
        <v>1</v>
      </c>
      <c r="B8" t="s">
        <v>58</v>
      </c>
      <c r="C8" t="s">
        <v>59</v>
      </c>
      <c r="D8" t="s">
        <v>59</v>
      </c>
      <c r="E8" t="s">
        <v>60</v>
      </c>
      <c r="F8" t="s">
        <v>61</v>
      </c>
      <c r="G8">
        <v>250</v>
      </c>
      <c r="H8">
        <f t="shared" si="0"/>
        <v>250</v>
      </c>
      <c r="I8">
        <v>0.13</v>
      </c>
      <c r="J8">
        <f t="shared" si="1"/>
        <v>32.5</v>
      </c>
      <c r="K8" t="s">
        <v>100</v>
      </c>
      <c r="L8" s="1" t="s">
        <v>101</v>
      </c>
    </row>
    <row r="9" spans="1:12" x14ac:dyDescent="0.2">
      <c r="A9" s="2">
        <v>1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>
        <v>250</v>
      </c>
      <c r="H9">
        <f t="shared" si="0"/>
        <v>250</v>
      </c>
      <c r="I9">
        <v>0.22</v>
      </c>
      <c r="J9">
        <f t="shared" si="1"/>
        <v>55</v>
      </c>
      <c r="K9" t="s">
        <v>102</v>
      </c>
      <c r="L9" s="1" t="s">
        <v>86</v>
      </c>
    </row>
    <row r="10" spans="1:12" x14ac:dyDescent="0.2">
      <c r="A10" s="2">
        <v>2</v>
      </c>
      <c r="B10">
        <v>6.8</v>
      </c>
      <c r="C10" t="s">
        <v>16</v>
      </c>
      <c r="D10" t="s">
        <v>17</v>
      </c>
      <c r="E10" t="s">
        <v>55</v>
      </c>
      <c r="F10" t="s">
        <v>18</v>
      </c>
      <c r="G10">
        <v>250</v>
      </c>
      <c r="H10">
        <f t="shared" si="0"/>
        <v>500</v>
      </c>
      <c r="I10">
        <v>0.10299999999999999</v>
      </c>
      <c r="J10">
        <f t="shared" si="1"/>
        <v>51.5</v>
      </c>
      <c r="K10" t="s">
        <v>106</v>
      </c>
      <c r="L10" s="1" t="s">
        <v>107</v>
      </c>
    </row>
    <row r="11" spans="1:12" x14ac:dyDescent="0.2">
      <c r="A11" s="2">
        <v>1</v>
      </c>
      <c r="B11">
        <v>13</v>
      </c>
      <c r="C11" t="s">
        <v>27</v>
      </c>
      <c r="D11" t="s">
        <v>28</v>
      </c>
      <c r="E11" t="s">
        <v>29</v>
      </c>
      <c r="F11" t="s">
        <v>18</v>
      </c>
      <c r="G11">
        <v>250</v>
      </c>
      <c r="H11">
        <f t="shared" si="0"/>
        <v>250</v>
      </c>
      <c r="I11">
        <v>8.3000000000000004E-2</v>
      </c>
      <c r="J11">
        <f t="shared" si="1"/>
        <v>20.75</v>
      </c>
      <c r="K11" t="s">
        <v>116</v>
      </c>
      <c r="L11" s="1" t="s">
        <v>117</v>
      </c>
    </row>
    <row r="12" spans="1:12" x14ac:dyDescent="0.2">
      <c r="A12" s="2">
        <v>2</v>
      </c>
      <c r="B12">
        <v>47</v>
      </c>
      <c r="C12" t="s">
        <v>52</v>
      </c>
      <c r="D12" t="s">
        <v>53</v>
      </c>
      <c r="E12" t="s">
        <v>54</v>
      </c>
      <c r="F12" t="s">
        <v>18</v>
      </c>
      <c r="G12">
        <v>250</v>
      </c>
      <c r="H12">
        <f t="shared" si="0"/>
        <v>500</v>
      </c>
      <c r="I12">
        <v>0.09</v>
      </c>
      <c r="J12">
        <f t="shared" si="1"/>
        <v>45</v>
      </c>
      <c r="K12" t="s">
        <v>114</v>
      </c>
      <c r="L12" s="1" t="s">
        <v>115</v>
      </c>
    </row>
    <row r="13" spans="1:12" s="2" customFormat="1" x14ac:dyDescent="0.2">
      <c r="A13" s="2">
        <v>3</v>
      </c>
      <c r="B13" s="2" t="s">
        <v>32</v>
      </c>
      <c r="C13" s="2" t="s">
        <v>16</v>
      </c>
      <c r="D13" s="2" t="s">
        <v>17</v>
      </c>
      <c r="E13" s="2" t="s">
        <v>80</v>
      </c>
      <c r="F13" s="2" t="s">
        <v>18</v>
      </c>
      <c r="G13">
        <v>250</v>
      </c>
      <c r="H13">
        <f t="shared" si="0"/>
        <v>750</v>
      </c>
      <c r="J13">
        <f t="shared" si="1"/>
        <v>0</v>
      </c>
    </row>
    <row r="14" spans="1:12" x14ac:dyDescent="0.2">
      <c r="A14" s="2">
        <v>2</v>
      </c>
      <c r="B14" t="s">
        <v>42</v>
      </c>
      <c r="C14" t="s">
        <v>16</v>
      </c>
      <c r="D14" t="s">
        <v>17</v>
      </c>
      <c r="E14" t="s">
        <v>43</v>
      </c>
      <c r="F14" t="s">
        <v>18</v>
      </c>
      <c r="G14">
        <v>250</v>
      </c>
      <c r="H14">
        <f t="shared" si="0"/>
        <v>500</v>
      </c>
      <c r="I14">
        <v>0.10299999999999999</v>
      </c>
      <c r="J14">
        <f t="shared" si="1"/>
        <v>51.5</v>
      </c>
      <c r="K14" t="s">
        <v>104</v>
      </c>
      <c r="L14" t="s">
        <v>105</v>
      </c>
    </row>
    <row r="15" spans="1:12" x14ac:dyDescent="0.2">
      <c r="A15" s="2">
        <v>2</v>
      </c>
      <c r="B15" t="s">
        <v>30</v>
      </c>
      <c r="C15" t="s">
        <v>16</v>
      </c>
      <c r="D15" t="s">
        <v>17</v>
      </c>
      <c r="E15" t="s">
        <v>31</v>
      </c>
      <c r="F15" t="s">
        <v>18</v>
      </c>
      <c r="G15">
        <v>250</v>
      </c>
      <c r="H15">
        <f t="shared" si="0"/>
        <v>500</v>
      </c>
      <c r="I15">
        <v>0.10299999999999999</v>
      </c>
      <c r="J15">
        <f t="shared" si="1"/>
        <v>51.5</v>
      </c>
      <c r="K15" t="s">
        <v>103</v>
      </c>
      <c r="L15" s="1" t="s">
        <v>84</v>
      </c>
    </row>
    <row r="16" spans="1:12" s="2" customFormat="1" x14ac:dyDescent="0.2">
      <c r="A16" s="2">
        <v>12</v>
      </c>
      <c r="B16" s="2" t="s">
        <v>26</v>
      </c>
      <c r="C16" s="2" t="s">
        <v>16</v>
      </c>
      <c r="D16" s="2" t="s">
        <v>17</v>
      </c>
      <c r="E16" s="2" t="s">
        <v>79</v>
      </c>
      <c r="F16" s="2" t="s">
        <v>18</v>
      </c>
      <c r="G16">
        <v>250</v>
      </c>
      <c r="H16">
        <f t="shared" si="0"/>
        <v>3000</v>
      </c>
      <c r="J16">
        <f t="shared" si="1"/>
        <v>0</v>
      </c>
    </row>
    <row r="17" spans="1:12" s="2" customFormat="1" x14ac:dyDescent="0.2">
      <c r="A17" s="2">
        <v>6</v>
      </c>
      <c r="B17" s="2" t="s">
        <v>36</v>
      </c>
      <c r="C17" s="2" t="s">
        <v>16</v>
      </c>
      <c r="D17" s="2" t="s">
        <v>17</v>
      </c>
      <c r="E17" s="2" t="s">
        <v>37</v>
      </c>
      <c r="F17" s="2" t="s">
        <v>18</v>
      </c>
      <c r="G17">
        <v>250</v>
      </c>
      <c r="H17">
        <f t="shared" si="0"/>
        <v>1500</v>
      </c>
      <c r="J17">
        <f t="shared" si="1"/>
        <v>0</v>
      </c>
    </row>
    <row r="18" spans="1:12" s="2" customFormat="1" x14ac:dyDescent="0.2">
      <c r="A18" s="2">
        <v>7</v>
      </c>
      <c r="B18" s="2" t="s">
        <v>20</v>
      </c>
      <c r="C18" s="2" t="s">
        <v>16</v>
      </c>
      <c r="D18" s="2" t="s">
        <v>17</v>
      </c>
      <c r="E18" s="2" t="s">
        <v>21</v>
      </c>
      <c r="F18" s="2" t="s">
        <v>18</v>
      </c>
      <c r="G18">
        <v>250</v>
      </c>
      <c r="H18">
        <f t="shared" si="0"/>
        <v>1750</v>
      </c>
      <c r="J18">
        <f t="shared" si="1"/>
        <v>0</v>
      </c>
    </row>
    <row r="19" spans="1:12" x14ac:dyDescent="0.2">
      <c r="A19" s="2">
        <v>2</v>
      </c>
      <c r="B19" t="s">
        <v>22</v>
      </c>
      <c r="C19" t="s">
        <v>23</v>
      </c>
      <c r="D19" t="s">
        <v>24</v>
      </c>
      <c r="E19" t="s">
        <v>25</v>
      </c>
      <c r="F19" t="s">
        <v>19</v>
      </c>
      <c r="G19">
        <v>250</v>
      </c>
      <c r="H19">
        <f t="shared" si="0"/>
        <v>500</v>
      </c>
      <c r="I19">
        <v>0.26</v>
      </c>
      <c r="J19">
        <f t="shared" si="1"/>
        <v>130</v>
      </c>
      <c r="K19" t="s">
        <v>108</v>
      </c>
      <c r="L19" s="1" t="s">
        <v>90</v>
      </c>
    </row>
    <row r="20" spans="1:12" x14ac:dyDescent="0.2">
      <c r="A20" s="2">
        <v>2</v>
      </c>
      <c r="B20" t="s">
        <v>56</v>
      </c>
      <c r="C20" t="s">
        <v>23</v>
      </c>
      <c r="D20" t="s">
        <v>24</v>
      </c>
      <c r="E20" t="s">
        <v>57</v>
      </c>
      <c r="F20" t="s">
        <v>19</v>
      </c>
      <c r="G20">
        <v>250</v>
      </c>
      <c r="H20">
        <f t="shared" si="0"/>
        <v>500</v>
      </c>
      <c r="I20">
        <v>0.04</v>
      </c>
      <c r="J20">
        <f t="shared" si="1"/>
        <v>20</v>
      </c>
      <c r="K20" t="s">
        <v>109</v>
      </c>
      <c r="L20" s="1" t="s">
        <v>89</v>
      </c>
    </row>
    <row r="21" spans="1:12" x14ac:dyDescent="0.2">
      <c r="A21" s="2">
        <v>1</v>
      </c>
      <c r="B21" t="s">
        <v>44</v>
      </c>
      <c r="C21" t="s">
        <v>45</v>
      </c>
      <c r="D21" t="s">
        <v>46</v>
      </c>
      <c r="E21" t="s">
        <v>47</v>
      </c>
      <c r="F21" t="s">
        <v>19</v>
      </c>
      <c r="G21">
        <v>250</v>
      </c>
      <c r="H21">
        <f t="shared" si="0"/>
        <v>250</v>
      </c>
      <c r="I21">
        <v>0.05</v>
      </c>
      <c r="J21">
        <f t="shared" si="1"/>
        <v>12.5</v>
      </c>
      <c r="K21" t="s">
        <v>110</v>
      </c>
      <c r="L21" s="1" t="s">
        <v>111</v>
      </c>
    </row>
    <row r="22" spans="1:12" x14ac:dyDescent="0.2">
      <c r="A22" s="2">
        <v>1</v>
      </c>
      <c r="B22" t="s">
        <v>33</v>
      </c>
      <c r="C22" t="s">
        <v>33</v>
      </c>
      <c r="D22" t="s">
        <v>33</v>
      </c>
      <c r="E22" t="s">
        <v>34</v>
      </c>
      <c r="F22" t="s">
        <v>35</v>
      </c>
      <c r="G22">
        <v>0.1</v>
      </c>
      <c r="H22">
        <f t="shared" si="0"/>
        <v>0.1</v>
      </c>
      <c r="I22">
        <v>0.37</v>
      </c>
      <c r="J22">
        <f t="shared" si="1"/>
        <v>3.6999999999999998E-2</v>
      </c>
      <c r="K22" t="s">
        <v>118</v>
      </c>
      <c r="L22" s="1" t="s">
        <v>119</v>
      </c>
    </row>
    <row r="23" spans="1:12" x14ac:dyDescent="0.2">
      <c r="A23" s="2">
        <v>1</v>
      </c>
      <c r="F23" t="s">
        <v>88</v>
      </c>
      <c r="G23">
        <v>1</v>
      </c>
      <c r="H23">
        <f t="shared" si="0"/>
        <v>1</v>
      </c>
      <c r="I23">
        <v>2.2999999999999998</v>
      </c>
      <c r="J23">
        <f t="shared" si="1"/>
        <v>2.2999999999999998</v>
      </c>
      <c r="K23" t="s">
        <v>112</v>
      </c>
      <c r="L23" s="1" t="s">
        <v>113</v>
      </c>
    </row>
    <row r="24" spans="1:12" s="4" customFormat="1" ht="102" x14ac:dyDescent="0.2">
      <c r="A24" s="4">
        <v>2</v>
      </c>
      <c r="F24" s="5" t="s">
        <v>124</v>
      </c>
      <c r="G24" s="4">
        <v>1</v>
      </c>
      <c r="H24" s="4">
        <f t="shared" si="0"/>
        <v>2</v>
      </c>
      <c r="I24" s="4">
        <v>1.08</v>
      </c>
      <c r="J24" s="4">
        <f t="shared" si="1"/>
        <v>2.16</v>
      </c>
      <c r="K24" s="4" t="s">
        <v>123</v>
      </c>
    </row>
    <row r="25" spans="1:12" s="3" customFormat="1" x14ac:dyDescent="0.2">
      <c r="A25" s="3">
        <v>1</v>
      </c>
      <c r="C25" s="3" t="s">
        <v>9</v>
      </c>
      <c r="D25" s="3" t="s">
        <v>10</v>
      </c>
      <c r="E25" s="3" t="s">
        <v>11</v>
      </c>
      <c r="F25" s="3" t="s">
        <v>91</v>
      </c>
      <c r="G25" s="3">
        <v>1</v>
      </c>
      <c r="H25" s="3">
        <f t="shared" si="0"/>
        <v>1</v>
      </c>
      <c r="J25">
        <f t="shared" si="1"/>
        <v>0</v>
      </c>
    </row>
    <row r="26" spans="1:12" x14ac:dyDescent="0.2">
      <c r="I26" t="s">
        <v>121</v>
      </c>
      <c r="J26">
        <f>SUM(J2:J25)</f>
        <v>1964.7470000000001</v>
      </c>
    </row>
    <row r="27" spans="1:12" x14ac:dyDescent="0.2">
      <c r="I27" t="s">
        <v>122</v>
      </c>
      <c r="J27">
        <f>J26*1.21</f>
        <v>2377.3438700000002</v>
      </c>
    </row>
    <row r="86" spans="16:19" ht="15.75" x14ac:dyDescent="0.2">
      <c r="P86" s="6" t="s">
        <v>125</v>
      </c>
    </row>
    <row r="88" spans="16:19" ht="25.5" x14ac:dyDescent="0.2">
      <c r="P88" s="7" t="s">
        <v>126</v>
      </c>
      <c r="Q88" s="7" t="s">
        <v>127</v>
      </c>
      <c r="R88" s="8" t="s">
        <v>128</v>
      </c>
      <c r="S88" s="8" t="s">
        <v>129</v>
      </c>
    </row>
    <row r="89" spans="16:19" ht="38.25" customHeight="1" x14ac:dyDescent="0.2">
      <c r="P89" s="11" t="s">
        <v>94</v>
      </c>
      <c r="Q89" s="13" t="s">
        <v>130</v>
      </c>
      <c r="R89" s="15">
        <v>1050</v>
      </c>
      <c r="S89" s="9" t="s">
        <v>131</v>
      </c>
    </row>
    <row r="90" spans="16:19" ht="25.5" x14ac:dyDescent="0.2">
      <c r="P90" s="12"/>
      <c r="Q90" s="14"/>
      <c r="R90" s="16"/>
      <c r="S90" s="10" t="s">
        <v>132</v>
      </c>
    </row>
    <row r="91" spans="16:19" ht="38.25" customHeight="1" x14ac:dyDescent="0.2">
      <c r="P91" s="11" t="s">
        <v>92</v>
      </c>
      <c r="Q91" s="13" t="s">
        <v>133</v>
      </c>
      <c r="R91" s="15">
        <v>3000</v>
      </c>
      <c r="S91" s="9" t="s">
        <v>134</v>
      </c>
    </row>
    <row r="92" spans="16:19" ht="25.5" x14ac:dyDescent="0.2">
      <c r="P92" s="12"/>
      <c r="Q92" s="14"/>
      <c r="R92" s="16"/>
      <c r="S92" s="10" t="s">
        <v>135</v>
      </c>
    </row>
    <row r="93" spans="16:19" ht="25.5" customHeight="1" x14ac:dyDescent="0.2">
      <c r="P93" s="11" t="s">
        <v>100</v>
      </c>
      <c r="Q93" s="13" t="s">
        <v>136</v>
      </c>
      <c r="R93" s="15">
        <v>260</v>
      </c>
      <c r="S93" s="9" t="s">
        <v>137</v>
      </c>
    </row>
    <row r="94" spans="16:19" ht="25.5" x14ac:dyDescent="0.2">
      <c r="P94" s="12"/>
      <c r="Q94" s="14"/>
      <c r="R94" s="16"/>
      <c r="S94" s="10" t="s">
        <v>138</v>
      </c>
    </row>
    <row r="95" spans="16:19" ht="25.5" customHeight="1" x14ac:dyDescent="0.2">
      <c r="P95" s="11" t="s">
        <v>102</v>
      </c>
      <c r="Q95" s="13" t="s">
        <v>139</v>
      </c>
      <c r="R95" s="15">
        <v>260</v>
      </c>
      <c r="S95" s="9" t="s">
        <v>140</v>
      </c>
    </row>
    <row r="96" spans="16:19" ht="25.5" x14ac:dyDescent="0.2">
      <c r="P96" s="12"/>
      <c r="Q96" s="14"/>
      <c r="R96" s="16"/>
      <c r="S96" s="10" t="s">
        <v>141</v>
      </c>
    </row>
    <row r="97" spans="16:19" ht="38.25" customHeight="1" x14ac:dyDescent="0.2">
      <c r="P97" s="11" t="s">
        <v>96</v>
      </c>
      <c r="Q97" s="13" t="s">
        <v>142</v>
      </c>
      <c r="R97" s="15">
        <v>2050</v>
      </c>
      <c r="S97" s="9" t="s">
        <v>143</v>
      </c>
    </row>
    <row r="98" spans="16:19" ht="25.5" x14ac:dyDescent="0.2">
      <c r="P98" s="12"/>
      <c r="Q98" s="14"/>
      <c r="R98" s="16"/>
      <c r="S98" s="10" t="s">
        <v>144</v>
      </c>
    </row>
    <row r="99" spans="16:19" ht="38.25" customHeight="1" x14ac:dyDescent="0.2">
      <c r="P99" s="11" t="s">
        <v>114</v>
      </c>
      <c r="Q99" s="13" t="s">
        <v>145</v>
      </c>
      <c r="R99" s="15">
        <v>500</v>
      </c>
      <c r="S99" s="9" t="s">
        <v>146</v>
      </c>
    </row>
    <row r="100" spans="16:19" ht="25.5" x14ac:dyDescent="0.2">
      <c r="P100" s="12"/>
      <c r="Q100" s="14"/>
      <c r="R100" s="16"/>
      <c r="S100" s="10" t="s">
        <v>147</v>
      </c>
    </row>
    <row r="101" spans="16:19" ht="38.25" customHeight="1" x14ac:dyDescent="0.2">
      <c r="P101" s="11" t="s">
        <v>110</v>
      </c>
      <c r="Q101" s="13" t="s">
        <v>148</v>
      </c>
      <c r="R101" s="15">
        <v>270</v>
      </c>
      <c r="S101" s="9" t="s">
        <v>149</v>
      </c>
    </row>
    <row r="102" spans="16:19" ht="25.5" x14ac:dyDescent="0.2">
      <c r="P102" s="12"/>
      <c r="Q102" s="14"/>
      <c r="R102" s="16"/>
      <c r="S102" s="10" t="s">
        <v>150</v>
      </c>
    </row>
    <row r="103" spans="16:19" ht="38.25" customHeight="1" x14ac:dyDescent="0.2">
      <c r="P103" s="11" t="s">
        <v>108</v>
      </c>
      <c r="Q103" s="13" t="s">
        <v>151</v>
      </c>
      <c r="R103" s="15">
        <v>520</v>
      </c>
      <c r="S103" s="9" t="s">
        <v>152</v>
      </c>
    </row>
    <row r="104" spans="16:19" ht="25.5" x14ac:dyDescent="0.2">
      <c r="P104" s="12"/>
      <c r="Q104" s="14"/>
      <c r="R104" s="16"/>
      <c r="S104" s="10" t="s">
        <v>153</v>
      </c>
    </row>
    <row r="105" spans="16:19" ht="38.25" customHeight="1" x14ac:dyDescent="0.2">
      <c r="P105" s="11" t="s">
        <v>82</v>
      </c>
      <c r="Q105" s="13" t="s">
        <v>154</v>
      </c>
      <c r="R105" s="15">
        <v>250</v>
      </c>
      <c r="S105" s="9" t="s">
        <v>155</v>
      </c>
    </row>
    <row r="106" spans="16:19" ht="25.5" x14ac:dyDescent="0.2">
      <c r="P106" s="12"/>
      <c r="Q106" s="14"/>
      <c r="R106" s="16"/>
      <c r="S106" s="10" t="s">
        <v>156</v>
      </c>
    </row>
    <row r="107" spans="16:19" ht="25.5" customHeight="1" x14ac:dyDescent="0.2">
      <c r="P107" s="11" t="s">
        <v>112</v>
      </c>
      <c r="Q107" s="13" t="s">
        <v>157</v>
      </c>
      <c r="R107" s="15">
        <v>125</v>
      </c>
      <c r="S107" s="9" t="s">
        <v>158</v>
      </c>
    </row>
    <row r="108" spans="16:19" ht="25.5" x14ac:dyDescent="0.2">
      <c r="P108" s="12"/>
      <c r="Q108" s="14"/>
      <c r="R108" s="16"/>
      <c r="S108" s="10" t="s">
        <v>159</v>
      </c>
    </row>
    <row r="109" spans="16:19" x14ac:dyDescent="0.2">
      <c r="P109" s="17"/>
      <c r="Q109" s="18"/>
      <c r="R109" s="18"/>
      <c r="S109" s="19"/>
    </row>
    <row r="110" spans="16:19" x14ac:dyDescent="0.2">
      <c r="P110" s="20" t="s">
        <v>160</v>
      </c>
      <c r="Q110" s="21"/>
      <c r="R110" s="22"/>
      <c r="S110" s="9" t="s">
        <v>161</v>
      </c>
    </row>
    <row r="111" spans="16:19" ht="25.5" x14ac:dyDescent="0.2">
      <c r="P111" s="23"/>
      <c r="Q111" s="24"/>
      <c r="R111" s="25"/>
      <c r="S111" s="10" t="s">
        <v>162</v>
      </c>
    </row>
    <row r="112" spans="16:19" ht="12.75" customHeight="1" x14ac:dyDescent="0.2">
      <c r="P112" s="26" t="s">
        <v>163</v>
      </c>
      <c r="Q112" s="27"/>
      <c r="R112" s="28"/>
      <c r="S112" s="8" t="s">
        <v>164</v>
      </c>
    </row>
    <row r="113" spans="16:19" x14ac:dyDescent="0.2">
      <c r="P113" s="20" t="s">
        <v>165</v>
      </c>
      <c r="Q113" s="21"/>
      <c r="R113" s="22"/>
      <c r="S113" s="9" t="s">
        <v>166</v>
      </c>
    </row>
    <row r="114" spans="16:19" ht="25.5" x14ac:dyDescent="0.2">
      <c r="P114" s="23"/>
      <c r="Q114" s="24"/>
      <c r="R114" s="25"/>
      <c r="S114" s="10" t="s">
        <v>167</v>
      </c>
    </row>
    <row r="115" spans="16:19" x14ac:dyDescent="0.2">
      <c r="P115" s="20" t="s">
        <v>129</v>
      </c>
      <c r="Q115" s="21"/>
      <c r="R115" s="22"/>
      <c r="S115" s="9" t="s">
        <v>168</v>
      </c>
    </row>
    <row r="116" spans="16:19" ht="25.5" x14ac:dyDescent="0.2">
      <c r="P116" s="23"/>
      <c r="Q116" s="24"/>
      <c r="R116" s="25"/>
      <c r="S116" s="10" t="s">
        <v>169</v>
      </c>
    </row>
  </sheetData>
  <mergeCells count="35">
    <mergeCell ref="P109:S109"/>
    <mergeCell ref="P110:R111"/>
    <mergeCell ref="P112:R112"/>
    <mergeCell ref="P113:R114"/>
    <mergeCell ref="P115:R116"/>
    <mergeCell ref="P105:P106"/>
    <mergeCell ref="Q105:Q106"/>
    <mergeCell ref="R105:R106"/>
    <mergeCell ref="P107:P108"/>
    <mergeCell ref="Q107:Q108"/>
    <mergeCell ref="R107:R108"/>
    <mergeCell ref="P101:P102"/>
    <mergeCell ref="Q101:Q102"/>
    <mergeCell ref="R101:R102"/>
    <mergeCell ref="P103:P104"/>
    <mergeCell ref="Q103:Q104"/>
    <mergeCell ref="R103:R104"/>
    <mergeCell ref="P97:P98"/>
    <mergeCell ref="Q97:Q98"/>
    <mergeCell ref="R97:R98"/>
    <mergeCell ref="P99:P100"/>
    <mergeCell ref="Q99:Q100"/>
    <mergeCell ref="R99:R100"/>
    <mergeCell ref="P93:P94"/>
    <mergeCell ref="Q93:Q94"/>
    <mergeCell ref="R93:R94"/>
    <mergeCell ref="P95:P96"/>
    <mergeCell ref="Q95:Q96"/>
    <mergeCell ref="R95:R96"/>
    <mergeCell ref="P89:P90"/>
    <mergeCell ref="Q89:Q90"/>
    <mergeCell ref="R89:R90"/>
    <mergeCell ref="P91:P92"/>
    <mergeCell ref="Q91:Q92"/>
    <mergeCell ref="R91:R92"/>
  </mergeCells>
  <hyperlinks>
    <hyperlink ref="L2" r:id="rId1"/>
    <hyperlink ref="L15" r:id="rId2"/>
    <hyperlink ref="L9" r:id="rId3"/>
    <hyperlink ref="L7" r:id="rId4"/>
    <hyperlink ref="L5" r:id="rId5"/>
    <hyperlink ref="L20" r:id="rId6"/>
    <hyperlink ref="L19" r:id="rId7"/>
    <hyperlink ref="L6" r:id="rId8"/>
    <hyperlink ref="L8" r:id="rId9"/>
    <hyperlink ref="L10" r:id="rId10"/>
    <hyperlink ref="L21" r:id="rId11"/>
    <hyperlink ref="L12" r:id="rId12"/>
    <hyperlink ref="L11" r:id="rId13"/>
  </hyperlinks>
  <pageMargins left="0.7" right="0.7" top="0.78740157499999996" bottom="0.78740157499999996" header="0.3" footer="0.3"/>
  <pageSetup paperSize="8" orientation="portrait" r:id="rId14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BMW_final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Gisler, Philipp</dc:creator>
  <cp:lastModifiedBy>Gisler Philipp</cp:lastModifiedBy>
  <cp:lastPrinted>2015-08-24T10:29:50Z</cp:lastPrinted>
  <dcterms:created xsi:type="dcterms:W3CDTF">2015-08-24T10:23:00Z</dcterms:created>
  <dcterms:modified xsi:type="dcterms:W3CDTF">2015-09-04T14:55:56Z</dcterms:modified>
</cp:coreProperties>
</file>
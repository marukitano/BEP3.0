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uteile BMW\BMW main\BEP2 final\"/>
    </mc:Choice>
  </mc:AlternateContent>
  <bookViews>
    <workbookView xWindow="1320" yWindow="1845" windowWidth="23595" windowHeight="12585"/>
  </bookViews>
  <sheets>
    <sheet name="Tabelle1" sheetId="1" r:id="rId1"/>
    <sheet name="Tabelle2" sheetId="2" r:id="rId2"/>
    <sheet name="Tabelle3" sheetId="3" r:id="rId3"/>
  </sheets>
  <calcPr calcId="162913"/>
</workbook>
</file>

<file path=xl/calcChain.xml><?xml version="1.0" encoding="utf-8"?>
<calcChain xmlns="http://schemas.openxmlformats.org/spreadsheetml/2006/main">
  <c r="H45" i="1" l="1"/>
  <c r="J45" i="1" s="1"/>
  <c r="H44" i="1"/>
  <c r="J44" i="1" s="1"/>
  <c r="H43" i="1"/>
  <c r="J43" i="1" s="1"/>
  <c r="H42" i="1"/>
  <c r="J42" i="1" s="1"/>
  <c r="H41" i="1"/>
  <c r="J41" i="1" s="1"/>
  <c r="H40" i="1"/>
  <c r="J40" i="1" s="1"/>
  <c r="H39" i="1"/>
  <c r="J39" i="1" s="1"/>
  <c r="H38" i="1"/>
  <c r="J38" i="1" s="1"/>
  <c r="H37" i="1"/>
  <c r="J37" i="1" s="1"/>
  <c r="H36" i="1"/>
  <c r="J36" i="1" s="1"/>
  <c r="H35" i="1"/>
  <c r="J35" i="1" s="1"/>
  <c r="H34" i="1"/>
  <c r="J34" i="1" s="1"/>
  <c r="H33" i="1"/>
  <c r="J33" i="1" s="1"/>
  <c r="H32" i="1"/>
  <c r="J32" i="1" s="1"/>
  <c r="H31" i="1"/>
  <c r="J31" i="1" s="1"/>
  <c r="H30" i="1"/>
  <c r="J30" i="1" s="1"/>
  <c r="H29" i="1"/>
  <c r="J29" i="1" s="1"/>
  <c r="H28" i="1"/>
  <c r="J28" i="1" s="1"/>
  <c r="H27" i="1"/>
  <c r="J27" i="1" s="1"/>
  <c r="H26" i="1"/>
  <c r="J26" i="1" s="1"/>
  <c r="H25" i="1"/>
  <c r="J25" i="1" s="1"/>
  <c r="H24" i="1"/>
  <c r="J24" i="1" s="1"/>
  <c r="H23" i="1"/>
  <c r="J23" i="1" s="1"/>
  <c r="H46" i="1"/>
  <c r="J46" i="1" s="1"/>
</calcChain>
</file>

<file path=xl/sharedStrings.xml><?xml version="1.0" encoding="utf-8"?>
<sst xmlns="http://schemas.openxmlformats.org/spreadsheetml/2006/main" count="214" uniqueCount="126">
  <si>
    <t>Qty/Board</t>
  </si>
  <si>
    <t>Value</t>
  </si>
  <si>
    <t>Package</t>
  </si>
  <si>
    <t>Parts</t>
  </si>
  <si>
    <t>MMBTA42LT1-NPN-SOT23-BEC</t>
  </si>
  <si>
    <t>SOT23-BEC</t>
  </si>
  <si>
    <t>T1, T2, T4, T5, T6, T7, T8, T9, T10, T11, T12</t>
  </si>
  <si>
    <t>BCP53T1</t>
  </si>
  <si>
    <t>SOT223</t>
  </si>
  <si>
    <t>T, T3, T13, T14</t>
  </si>
  <si>
    <t>GF1</t>
  </si>
  <si>
    <t>SMA-DO214AC</t>
  </si>
  <si>
    <t>D1, D2, D3, D4, D5, D6, D7, D9</t>
  </si>
  <si>
    <t>LM2904</t>
  </si>
  <si>
    <t>SO08</t>
  </si>
  <si>
    <t>IC5,IC2</t>
  </si>
  <si>
    <t>4028D</t>
  </si>
  <si>
    <t>SO16</t>
  </si>
  <si>
    <t>IC3</t>
  </si>
  <si>
    <t>78LXX</t>
  </si>
  <si>
    <t>IC1</t>
  </si>
  <si>
    <t>317T</t>
  </si>
  <si>
    <t>TO220H</t>
  </si>
  <si>
    <t>IC4</t>
  </si>
  <si>
    <t>R0805</t>
  </si>
  <si>
    <t>R40, R41</t>
  </si>
  <si>
    <t>0207/10</t>
  </si>
  <si>
    <t>R18</t>
  </si>
  <si>
    <t>V235/17</t>
  </si>
  <si>
    <t>R27, R28</t>
  </si>
  <si>
    <t>1k</t>
  </si>
  <si>
    <t>R13, R24, R38</t>
  </si>
  <si>
    <t>4.7k</t>
  </si>
  <si>
    <t>R1,R17</t>
  </si>
  <si>
    <t>15k</t>
  </si>
  <si>
    <t>R6, R15</t>
  </si>
  <si>
    <t>10k</t>
  </si>
  <si>
    <t>R2, R3, R4, R5, R16, R25, R26, R32, R33, R34, R35, R36</t>
  </si>
  <si>
    <t>27k</t>
  </si>
  <si>
    <t>R7, R8, R9, R19, R21, R37</t>
  </si>
  <si>
    <t>100k</t>
  </si>
  <si>
    <t>R10, R12, R14, R23, R29, R30, R31</t>
  </si>
  <si>
    <t>100u</t>
  </si>
  <si>
    <t>C1206K</t>
  </si>
  <si>
    <t>C2, C3</t>
  </si>
  <si>
    <t>68nF</t>
  </si>
  <si>
    <t>C4, C5</t>
  </si>
  <si>
    <t>4.7u</t>
  </si>
  <si>
    <t>C0805K</t>
  </si>
  <si>
    <t>C1B</t>
  </si>
  <si>
    <t>78L06</t>
  </si>
  <si>
    <t>Device</t>
  </si>
  <si>
    <t>Description</t>
  </si>
  <si>
    <t>Number Boards</t>
  </si>
  <si>
    <t>tot number Parts</t>
  </si>
  <si>
    <t>unit Price</t>
  </si>
  <si>
    <t>total Price</t>
  </si>
  <si>
    <t>Reichelt Art Nr.</t>
  </si>
  <si>
    <t>link</t>
  </si>
  <si>
    <t>2081-1132</t>
  </si>
  <si>
    <t>12-PIN</t>
  </si>
  <si>
    <t>1, 2</t>
  </si>
  <si>
    <t>WAGO SREW CLAMP</t>
  </si>
  <si>
    <t>WAGO 2081-1132</t>
  </si>
  <si>
    <t>http://www.reichelt.de/WAGO-2081-1132/3/index.html?&amp;ACTION=3&amp;LA=446&amp;ARTICLE=136698&amp;artnr=WAGO+2081-1132&amp;SEARCH=Klemmleiste+12-polig</t>
  </si>
  <si>
    <t>NPN Transistror</t>
  </si>
  <si>
    <t>SMBTA 42 SMD</t>
  </si>
  <si>
    <t>https://secure.reichelt.de/index.html?ACTION=3;ARTICLE=41828;SEARCH=SMBTA%2042%20SMD</t>
  </si>
  <si>
    <t>BCP 53-16 SMD</t>
  </si>
  <si>
    <t>https://secure.reichelt.de/index.html?ACTION=3;ARTICLE=41323;SEARCH=BCP%2053-16%20SMD</t>
  </si>
  <si>
    <t>DIODE</t>
  </si>
  <si>
    <t>S 1G SMD</t>
  </si>
  <si>
    <t>http://www.reichelt.de/SB-SKE-4F-Dioden/S-1G-SMD/3/index.html?&amp;ACTION=3&amp;LA=2&amp;ARTICLE=95354&amp;GROUPID=2991&amp;artnr=S+1G+SMD</t>
  </si>
  <si>
    <t>LM358D</t>
  </si>
  <si>
    <t>OP AMP also LM158; LM258; LM2904</t>
  </si>
  <si>
    <t>LM 2904 D</t>
  </si>
  <si>
    <t>https://www.reichelt.de/LM-2904-D/3/index.html?&amp;ACTION=3&amp;LA=446&amp;ARTICLE=109387&amp;artnr=LM+2904+D&amp;SEARCH=lm2904</t>
  </si>
  <si>
    <t>BCD to decimal DECODER</t>
  </si>
  <si>
    <t>SMD 4028</t>
  </si>
  <si>
    <t>http://www.reichelt.de/SMD-4028/3/index.html?&amp;ACTION=3&amp;LA=446&amp;ARTICLE=18455&amp;artnr=SMD+4028&amp;SEARCH=4028</t>
  </si>
  <si>
    <t>6V pos</t>
  </si>
  <si>
    <t>VOLTAGE REGULATOR</t>
  </si>
  <si>
    <t>µA 78L06</t>
  </si>
  <si>
    <t>http://www.reichelt.de/-A-78L06/3/index.html?&amp;ACTION=3&amp;LA=446&amp;ARTICLE=23471&amp;artnr=%C2%B5A+78L06&amp;SEARCH=78L06</t>
  </si>
  <si>
    <t>Positive VOLTAGE REGULATOR</t>
  </si>
  <si>
    <t>LM 317-220 SG</t>
  </si>
  <si>
    <t>http://www.reichelt.de/LM-317-220-SG/3/index.html?&amp;ACTION=3&amp;LA=446&amp;ARTICLE=120703&amp;artnr=LM+317-220+SG&amp;SEARCH=317</t>
  </si>
  <si>
    <t>R-EU_R0805</t>
  </si>
  <si>
    <t>RESISTOR, European symbol</t>
  </si>
  <si>
    <t>SMD-0805 6,80</t>
  </si>
  <si>
    <t>http://www.reichelt.de/SMD-0805-1-00-Ohm-8-20-Ohm/SMD-0805-6-80/3/index.html?&amp;ACTION=3&amp;LA=2&amp;ARTICLE=33335&amp;GROUPID=3094&amp;artnr=SMD-0805+6%2C80</t>
  </si>
  <si>
    <t>R-EU_0207/10</t>
  </si>
  <si>
    <t>METALL 13,0</t>
  </si>
  <si>
    <t>http://www.reichelt.de/1-4W-1-10-0-Ohm-97-6-Ohm/METALL-13-0/3/index.html?&amp;ACTION=3&amp;LA=2&amp;ARTICLE=11497&amp;GROUPID=3076&amp;artnr=METALL+13%2C0</t>
  </si>
  <si>
    <t>R-EU_V235/17</t>
  </si>
  <si>
    <t>2W METALL 47</t>
  </si>
  <si>
    <t>http://www.reichelt.de/2W-METALL-47/3/index.html?&amp;ACTION=3&amp;LA=446&amp;ARTICLE=2353&amp;artnr=2W+METALL+47&amp;SEARCH=2W+metall+47</t>
  </si>
  <si>
    <t>SMD-0805 4,70K</t>
  </si>
  <si>
    <t>http://www.reichelt.de/SMD-0805-1-00-k-Ohm-8-20-k-Ohm/SMD-0805-4-70K/3/index.html?&amp;ACTION=3&amp;LA=2&amp;ARTICLE=32894&amp;GROUPID=3097&amp;artnr=SMD-0805+4%2C70K</t>
  </si>
  <si>
    <t>SMD-0805 15,0K</t>
  </si>
  <si>
    <t>http://www.reichelt.de/SMD-0805-10-0-k-Ohm-82-0-k-Ohm/SMD-0805-15-0K/3/index.html?&amp;ACTION=3&amp;LA=2&amp;ARTICLE=32900&amp;GROUPID=3098&amp;artnr=SMD-0805+15%2C0K</t>
  </si>
  <si>
    <t>C-EUC1206K</t>
  </si>
  <si>
    <t>CAPACITOR, European symbol</t>
  </si>
  <si>
    <t>X5R-G1206 100/6</t>
  </si>
  <si>
    <t>http://www.reichelt.de/Vielschicht-SMD-G1206-High-Cap/X5R-G1206-100-6/3/index.html?&amp;ACTION=3&amp;LA=2&amp;ARTICLE=89744&amp;GROUPID=4340&amp;artnr=X5R-G1206+100%2F6</t>
  </si>
  <si>
    <t>X7R-G1206 68N</t>
  </si>
  <si>
    <t>http://www.reichelt.de/X7R-G1206-100N/3/index.html?&amp;ACTION=3&amp;LA=446&amp;ARTICLE=22889&amp;artnr=X7R-G1206+100N&amp;SEARCH=x7r-g1206</t>
  </si>
  <si>
    <t>C-EUC0805K</t>
  </si>
  <si>
    <t>X5R-G0805 4,7</t>
  </si>
  <si>
    <t>http://www.reichelt.de/Vielschicht-SMD-G1206/X7R-G1206-68N/3/index.html?ACTION=3;ARTICLE=107465;SEARCH=X5R-G0805%204,7</t>
  </si>
  <si>
    <t>22-23-2021</t>
  </si>
  <si>
    <t>X2</t>
  </si>
  <si>
    <t>.100 (2.54mm) Center Header - 2 Pin"</t>
  </si>
  <si>
    <t>SL 1X50G 2,54</t>
  </si>
  <si>
    <t>http://www.reichelt.de/Stiftleisten/SL-1X50G-2-54/3/index.html?&amp;ACTION=3&amp;LA=2&amp;ARTICLE=19508&amp;GROUPID=3220&amp;artnr=SL+1X50G+2%2C54&amp;SEARCH=STIFTLEISTE</t>
  </si>
  <si>
    <t>Gehäuse</t>
  </si>
  <si>
    <t>SP 2000 SW</t>
  </si>
  <si>
    <t>http://www.reichelt.de/SP-2000-SW/3/index.html?&amp;ACTION=3&amp;LA=446&amp;ARTICLE=33824&amp;artnr=SP+2000+SW&amp;SEARCH=SP+2000+SW</t>
  </si>
  <si>
    <t>Bürklin Stecker 12pin TE CONNECTIVITY 12P MOD 1 SHROUDED HEADER</t>
  </si>
  <si>
    <t>280614-1</t>
  </si>
  <si>
    <t>CON_BMW</t>
  </si>
  <si>
    <t>24-PIN</t>
  </si>
  <si>
    <t>X1</t>
  </si>
  <si>
    <t>BMW CONNECTOR (self made)</t>
  </si>
  <si>
    <t>https://www.buerklin.com/de/stiftleiste/p/59f405</t>
  </si>
  <si>
    <t>grüner Stecker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</si>
</sst>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Arial"/>
      <family val="2"/>
    </font>
    <font>
      <u/>
      <sz val="10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0" fillId="5" borderId="0" xfId="0" applyFill="1"/>
    <xf numFmtId="0" fontId="1" fillId="0" borderId="0" xfId="1"/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1" fillId="6" borderId="0" xfId="1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ichelt.de/LM-2904-D/3/index.html?&amp;ACTION=3&amp;LA=446&amp;ARTICLE=109387&amp;artnr=LM+2904+D&amp;SEARCH=lm2904" TargetMode="External"/><Relationship Id="rId13" Type="http://schemas.openxmlformats.org/officeDocument/2006/relationships/hyperlink" Target="http://www.reichelt.de/1-4W-1-10-0-Ohm-97-6-Ohm/METALL-13-0/3/index.html?&amp;ACTION=3&amp;LA=2&amp;ARTICLE=11497&amp;GROUPID=3076&amp;artnr=METALL+13%2C0" TargetMode="External"/><Relationship Id="rId3" Type="http://schemas.openxmlformats.org/officeDocument/2006/relationships/hyperlink" Target="http://www.reichelt.de/LM-317-220-SG/3/index.html?&amp;ACTION=3&amp;LA=446&amp;ARTICLE=120703&amp;artnr=LM+317-220+SG&amp;SEARCH=317" TargetMode="External"/><Relationship Id="rId7" Type="http://schemas.openxmlformats.org/officeDocument/2006/relationships/hyperlink" Target="http://www.reichelt.de/Vielschicht-SMD-G1206-High-Cap/X5R-G1206-100-6/3/index.html?&amp;ACTION=3&amp;LA=2&amp;ARTICLE=89744&amp;GROUPID=4340&amp;artnr=X5R-G1206+100%2F6" TargetMode="External"/><Relationship Id="rId12" Type="http://schemas.openxmlformats.org/officeDocument/2006/relationships/hyperlink" Target="http://www.reichelt.de/2W-METALL-47/3/index.html?&amp;ACTION=3&amp;LA=446&amp;ARTICLE=2353&amp;artnr=2W+METALL+47&amp;SEARCH=2W+metall+47" TargetMode="External"/><Relationship Id="rId2" Type="http://schemas.openxmlformats.org/officeDocument/2006/relationships/hyperlink" Target="http://www.reichelt.de/SMD-0805-10-0-k-Ohm-82-0-k-Ohm/SMD-0805-15-0K/3/index.html?&amp;ACTION=3&amp;LA=2&amp;ARTICLE=32900&amp;GROUPID=3098&amp;artnr=SMD-0805+15%2C0K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www.reichelt.de/WAGO-2081-1132/3/index.html?&amp;ACTION=3&amp;LA=446&amp;ARTICLE=136698&amp;artnr=WAGO+2081-1132&amp;SEARCH=Klemmleiste+12-polig" TargetMode="External"/><Relationship Id="rId6" Type="http://schemas.openxmlformats.org/officeDocument/2006/relationships/hyperlink" Target="http://www.reichelt.de/X7R-G1206-100N/3/index.html?&amp;ACTION=3&amp;LA=446&amp;ARTICLE=22889&amp;artnr=X7R-G1206+100N&amp;SEARCH=x7r-g1206" TargetMode="External"/><Relationship Id="rId11" Type="http://schemas.openxmlformats.org/officeDocument/2006/relationships/hyperlink" Target="http://www.reichelt.de/Vielschicht-SMD-G1206/X7R-G1206-68N/3/index.html?ACTION=3;ARTICLE=107465;SEARCH=X5R-G0805%204,7" TargetMode="External"/><Relationship Id="rId5" Type="http://schemas.openxmlformats.org/officeDocument/2006/relationships/hyperlink" Target="http://www.reichelt.de/SB-SKE-4F-Dioden/S-1G-SMD/3/index.html?&amp;ACTION=3&amp;LA=2&amp;ARTICLE=95354&amp;GROUPID=2991&amp;artnr=S+1G+SMD" TargetMode="External"/><Relationship Id="rId15" Type="http://schemas.openxmlformats.org/officeDocument/2006/relationships/hyperlink" Target="https://secure.reichelt.de/index.html?ACTION=3;ARTICLE=41323;SEARCH=BCP%2053-16%20SMD" TargetMode="External"/><Relationship Id="rId10" Type="http://schemas.openxmlformats.org/officeDocument/2006/relationships/hyperlink" Target="http://www.reichelt.de/SMD-0805-1-00-Ohm-8-20-Ohm/SMD-0805-6-80/3/index.html?&amp;ACTION=3&amp;LA=2&amp;ARTICLE=33335&amp;GROUPID=3094&amp;artnr=SMD-0805+6%2C80" TargetMode="External"/><Relationship Id="rId4" Type="http://schemas.openxmlformats.org/officeDocument/2006/relationships/hyperlink" Target="http://www.reichelt.de/SMD-4028/3/index.html?&amp;ACTION=3&amp;LA=446&amp;ARTICLE=18455&amp;artnr=SMD+4028&amp;SEARCH=4028" TargetMode="External"/><Relationship Id="rId9" Type="http://schemas.openxmlformats.org/officeDocument/2006/relationships/hyperlink" Target="http://www.reichelt.de/-A-78L06/3/index.html?&amp;ACTION=3&amp;LA=446&amp;ARTICLE=23471&amp;artnr=%C2%B5A+78L06&amp;SEARCH=78L06" TargetMode="External"/><Relationship Id="rId14" Type="http://schemas.openxmlformats.org/officeDocument/2006/relationships/hyperlink" Target="https://www.buerklin.com/de/stiftleiste/p/59f4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topLeftCell="B13" workbookViewId="0">
      <selection activeCell="L25" sqref="L25"/>
    </sheetView>
  </sheetViews>
  <sheetFormatPr baseColWidth="10" defaultRowHeight="12.75" x14ac:dyDescent="0.2"/>
  <cols>
    <col min="2" max="3" width="11.42578125" style="1"/>
    <col min="4" max="4" width="18.7109375" customWidth="1"/>
  </cols>
  <sheetData>
    <row r="1" spans="1:4" x14ac:dyDescent="0.2">
      <c r="A1" s="2" t="s">
        <v>0</v>
      </c>
      <c r="B1" s="3" t="s">
        <v>1</v>
      </c>
      <c r="C1" s="3" t="s">
        <v>2</v>
      </c>
      <c r="D1" s="2" t="s">
        <v>3</v>
      </c>
    </row>
    <row r="2" spans="1:4" x14ac:dyDescent="0.2">
      <c r="A2" s="6">
        <v>11</v>
      </c>
      <c r="B2" s="7" t="s">
        <v>4</v>
      </c>
      <c r="C2" s="7" t="s">
        <v>5</v>
      </c>
      <c r="D2" s="6" t="s">
        <v>6</v>
      </c>
    </row>
    <row r="3" spans="1:4" x14ac:dyDescent="0.2">
      <c r="A3" s="6">
        <v>4</v>
      </c>
      <c r="B3" s="7" t="s">
        <v>7</v>
      </c>
      <c r="C3" s="7" t="s">
        <v>8</v>
      </c>
      <c r="D3" s="6" t="s">
        <v>9</v>
      </c>
    </row>
    <row r="4" spans="1:4" x14ac:dyDescent="0.2">
      <c r="A4" s="6">
        <v>8</v>
      </c>
      <c r="B4" s="7" t="s">
        <v>10</v>
      </c>
      <c r="C4" s="7" t="s">
        <v>11</v>
      </c>
      <c r="D4" s="6" t="s">
        <v>12</v>
      </c>
    </row>
    <row r="5" spans="1:4" x14ac:dyDescent="0.2">
      <c r="A5" s="6">
        <v>2</v>
      </c>
      <c r="B5" s="7" t="s">
        <v>13</v>
      </c>
      <c r="C5" s="7" t="s">
        <v>14</v>
      </c>
      <c r="D5" s="6" t="s">
        <v>15</v>
      </c>
    </row>
    <row r="6" spans="1:4" x14ac:dyDescent="0.2">
      <c r="A6" s="6">
        <v>1</v>
      </c>
      <c r="B6" s="7" t="s">
        <v>16</v>
      </c>
      <c r="C6" s="7" t="s">
        <v>17</v>
      </c>
      <c r="D6" s="6" t="s">
        <v>18</v>
      </c>
    </row>
    <row r="7" spans="1:4" x14ac:dyDescent="0.2">
      <c r="A7" s="6">
        <v>1</v>
      </c>
      <c r="B7" s="7" t="s">
        <v>50</v>
      </c>
      <c r="C7" s="7" t="s">
        <v>19</v>
      </c>
      <c r="D7" s="6" t="s">
        <v>20</v>
      </c>
    </row>
    <row r="8" spans="1:4" x14ac:dyDescent="0.2">
      <c r="A8" s="6">
        <v>1</v>
      </c>
      <c r="B8" s="7" t="s">
        <v>21</v>
      </c>
      <c r="C8" s="7" t="s">
        <v>22</v>
      </c>
      <c r="D8" s="6" t="s">
        <v>23</v>
      </c>
    </row>
    <row r="9" spans="1:4" x14ac:dyDescent="0.2">
      <c r="A9" s="4">
        <v>12</v>
      </c>
      <c r="B9" s="5" t="s">
        <v>36</v>
      </c>
      <c r="C9" s="5" t="s">
        <v>24</v>
      </c>
      <c r="D9" s="4" t="s">
        <v>37</v>
      </c>
    </row>
    <row r="10" spans="1:4" x14ac:dyDescent="0.2">
      <c r="A10" s="4">
        <v>7</v>
      </c>
      <c r="B10" s="5" t="s">
        <v>40</v>
      </c>
      <c r="C10" s="5" t="s">
        <v>24</v>
      </c>
      <c r="D10" s="4" t="s">
        <v>41</v>
      </c>
    </row>
    <row r="11" spans="1:4" x14ac:dyDescent="0.2">
      <c r="A11" s="4">
        <v>6</v>
      </c>
      <c r="B11" s="5" t="s">
        <v>38</v>
      </c>
      <c r="C11" s="5" t="s">
        <v>24</v>
      </c>
      <c r="D11" s="4" t="s">
        <v>39</v>
      </c>
    </row>
    <row r="12" spans="1:4" x14ac:dyDescent="0.2">
      <c r="A12" s="4">
        <v>3</v>
      </c>
      <c r="B12" s="5" t="s">
        <v>30</v>
      </c>
      <c r="C12" s="5" t="s">
        <v>24</v>
      </c>
      <c r="D12" s="4" t="s">
        <v>31</v>
      </c>
    </row>
    <row r="13" spans="1:4" x14ac:dyDescent="0.2">
      <c r="A13" s="4">
        <v>2</v>
      </c>
      <c r="B13" s="5">
        <v>6.8</v>
      </c>
      <c r="C13" s="5" t="s">
        <v>24</v>
      </c>
      <c r="D13" s="4" t="s">
        <v>25</v>
      </c>
    </row>
    <row r="14" spans="1:4" x14ac:dyDescent="0.2">
      <c r="A14" s="4">
        <v>2</v>
      </c>
      <c r="B14" s="5">
        <v>47</v>
      </c>
      <c r="C14" s="5" t="s">
        <v>28</v>
      </c>
      <c r="D14" s="4" t="s">
        <v>29</v>
      </c>
    </row>
    <row r="15" spans="1:4" x14ac:dyDescent="0.2">
      <c r="A15" s="4">
        <v>2</v>
      </c>
      <c r="B15" s="5" t="s">
        <v>32</v>
      </c>
      <c r="C15" s="5" t="s">
        <v>24</v>
      </c>
      <c r="D15" s="4" t="s">
        <v>33</v>
      </c>
    </row>
    <row r="16" spans="1:4" x14ac:dyDescent="0.2">
      <c r="A16" s="4">
        <v>2</v>
      </c>
      <c r="B16" s="5" t="s">
        <v>34</v>
      </c>
      <c r="C16" s="5" t="s">
        <v>24</v>
      </c>
      <c r="D16" s="4" t="s">
        <v>35</v>
      </c>
    </row>
    <row r="17" spans="1:12" x14ac:dyDescent="0.2">
      <c r="A17" s="4">
        <v>1</v>
      </c>
      <c r="B17" s="5">
        <v>13</v>
      </c>
      <c r="C17" s="5" t="s">
        <v>26</v>
      </c>
      <c r="D17" s="4" t="s">
        <v>27</v>
      </c>
    </row>
    <row r="18" spans="1:12" x14ac:dyDescent="0.2">
      <c r="A18" s="8">
        <v>2</v>
      </c>
      <c r="B18" s="9" t="s">
        <v>42</v>
      </c>
      <c r="C18" s="9" t="s">
        <v>43</v>
      </c>
      <c r="D18" s="8" t="s">
        <v>44</v>
      </c>
    </row>
    <row r="19" spans="1:12" x14ac:dyDescent="0.2">
      <c r="A19" s="8">
        <v>2</v>
      </c>
      <c r="B19" s="9" t="s">
        <v>45</v>
      </c>
      <c r="C19" s="9" t="s">
        <v>43</v>
      </c>
      <c r="D19" s="8" t="s">
        <v>46</v>
      </c>
    </row>
    <row r="20" spans="1:12" x14ac:dyDescent="0.2">
      <c r="A20" s="8">
        <v>1</v>
      </c>
      <c r="B20" s="9" t="s">
        <v>47</v>
      </c>
      <c r="C20" s="9" t="s">
        <v>48</v>
      </c>
      <c r="D20" s="8" t="s">
        <v>49</v>
      </c>
    </row>
    <row r="22" spans="1:12" x14ac:dyDescent="0.2">
      <c r="A22" t="s">
        <v>0</v>
      </c>
      <c r="B22" t="s">
        <v>1</v>
      </c>
      <c r="C22" t="s">
        <v>51</v>
      </c>
      <c r="D22" t="s">
        <v>2</v>
      </c>
      <c r="E22" t="s">
        <v>3</v>
      </c>
      <c r="F22" t="s">
        <v>52</v>
      </c>
      <c r="G22" t="s">
        <v>53</v>
      </c>
      <c r="H22" t="s">
        <v>54</v>
      </c>
      <c r="I22" t="s">
        <v>55</v>
      </c>
      <c r="J22" t="s">
        <v>56</v>
      </c>
      <c r="K22" t="s">
        <v>57</v>
      </c>
      <c r="L22" t="s">
        <v>58</v>
      </c>
    </row>
    <row r="23" spans="1:12" x14ac:dyDescent="0.2">
      <c r="A23" s="10">
        <v>11</v>
      </c>
      <c r="B23"/>
      <c r="C23" t="s">
        <v>4</v>
      </c>
      <c r="D23" t="s">
        <v>5</v>
      </c>
      <c r="E23" t="s">
        <v>6</v>
      </c>
      <c r="F23" t="s">
        <v>65</v>
      </c>
      <c r="G23">
        <v>250</v>
      </c>
      <c r="H23">
        <f t="shared" ref="H23:H45" si="0">A23*G23</f>
        <v>2750</v>
      </c>
      <c r="I23">
        <v>0.04</v>
      </c>
      <c r="J23">
        <f t="shared" ref="J23:J45" si="1">H23*I23</f>
        <v>110</v>
      </c>
      <c r="K23" t="s">
        <v>66</v>
      </c>
      <c r="L23" t="s">
        <v>67</v>
      </c>
    </row>
    <row r="24" spans="1:12" x14ac:dyDescent="0.2">
      <c r="A24" s="10">
        <v>4</v>
      </c>
      <c r="B24" t="s">
        <v>7</v>
      </c>
      <c r="C24" t="s">
        <v>7</v>
      </c>
      <c r="D24" t="s">
        <v>8</v>
      </c>
      <c r="E24" t="s">
        <v>9</v>
      </c>
      <c r="G24">
        <v>250</v>
      </c>
      <c r="H24">
        <f t="shared" si="0"/>
        <v>1000</v>
      </c>
      <c r="I24">
        <v>0.1</v>
      </c>
      <c r="J24">
        <f t="shared" si="1"/>
        <v>100</v>
      </c>
      <c r="K24" t="s">
        <v>68</v>
      </c>
      <c r="L24" s="11" t="s">
        <v>69</v>
      </c>
    </row>
    <row r="25" spans="1:12" x14ac:dyDescent="0.2">
      <c r="A25" s="10">
        <v>8</v>
      </c>
      <c r="B25" t="s">
        <v>10</v>
      </c>
      <c r="C25" t="s">
        <v>10</v>
      </c>
      <c r="D25" t="s">
        <v>11</v>
      </c>
      <c r="E25" t="s">
        <v>12</v>
      </c>
      <c r="F25" t="s">
        <v>70</v>
      </c>
      <c r="G25">
        <v>250</v>
      </c>
      <c r="H25">
        <f t="shared" si="0"/>
        <v>2000</v>
      </c>
      <c r="I25">
        <v>0.04</v>
      </c>
      <c r="J25">
        <f t="shared" si="1"/>
        <v>80</v>
      </c>
      <c r="K25" t="s">
        <v>71</v>
      </c>
      <c r="L25" s="11" t="s">
        <v>72</v>
      </c>
    </row>
    <row r="26" spans="1:12" x14ac:dyDescent="0.2">
      <c r="A26" s="10">
        <v>2</v>
      </c>
      <c r="B26" t="s">
        <v>13</v>
      </c>
      <c r="C26" t="s">
        <v>73</v>
      </c>
      <c r="D26" t="s">
        <v>14</v>
      </c>
      <c r="E26" t="s">
        <v>15</v>
      </c>
      <c r="F26" t="s">
        <v>74</v>
      </c>
      <c r="G26">
        <v>250</v>
      </c>
      <c r="H26">
        <f t="shared" si="0"/>
        <v>500</v>
      </c>
      <c r="I26">
        <v>0.18</v>
      </c>
      <c r="J26">
        <f t="shared" si="1"/>
        <v>90</v>
      </c>
      <c r="K26" t="s">
        <v>75</v>
      </c>
      <c r="L26" s="11" t="s">
        <v>76</v>
      </c>
    </row>
    <row r="27" spans="1:12" x14ac:dyDescent="0.2">
      <c r="A27" s="10">
        <v>1</v>
      </c>
      <c r="B27" t="s">
        <v>16</v>
      </c>
      <c r="C27" t="s">
        <v>16</v>
      </c>
      <c r="D27" t="s">
        <v>17</v>
      </c>
      <c r="E27" t="s">
        <v>18</v>
      </c>
      <c r="F27" t="s">
        <v>77</v>
      </c>
      <c r="G27">
        <v>250</v>
      </c>
      <c r="H27">
        <f t="shared" si="0"/>
        <v>250</v>
      </c>
      <c r="I27">
        <v>0.34</v>
      </c>
      <c r="J27">
        <f t="shared" si="1"/>
        <v>85</v>
      </c>
      <c r="K27" t="s">
        <v>78</v>
      </c>
      <c r="L27" s="11" t="s">
        <v>79</v>
      </c>
    </row>
    <row r="28" spans="1:12" x14ac:dyDescent="0.2">
      <c r="A28" s="10">
        <v>1</v>
      </c>
      <c r="B28" t="s">
        <v>80</v>
      </c>
      <c r="C28" t="s">
        <v>19</v>
      </c>
      <c r="D28" t="s">
        <v>19</v>
      </c>
      <c r="E28" t="s">
        <v>20</v>
      </c>
      <c r="F28" t="s">
        <v>81</v>
      </c>
      <c r="G28">
        <v>250</v>
      </c>
      <c r="H28">
        <f t="shared" si="0"/>
        <v>250</v>
      </c>
      <c r="I28">
        <v>0.13</v>
      </c>
      <c r="J28">
        <f t="shared" si="1"/>
        <v>32.5</v>
      </c>
      <c r="K28" t="s">
        <v>82</v>
      </c>
      <c r="L28" s="11" t="s">
        <v>83</v>
      </c>
    </row>
    <row r="29" spans="1:12" x14ac:dyDescent="0.2">
      <c r="A29" s="10">
        <v>1</v>
      </c>
      <c r="B29" t="s">
        <v>21</v>
      </c>
      <c r="C29" t="s">
        <v>21</v>
      </c>
      <c r="D29" t="s">
        <v>22</v>
      </c>
      <c r="E29" t="s">
        <v>23</v>
      </c>
      <c r="F29" t="s">
        <v>84</v>
      </c>
      <c r="G29">
        <v>250</v>
      </c>
      <c r="H29">
        <f t="shared" si="0"/>
        <v>250</v>
      </c>
      <c r="I29">
        <v>0.22</v>
      </c>
      <c r="J29">
        <f t="shared" si="1"/>
        <v>55</v>
      </c>
      <c r="K29" t="s">
        <v>85</v>
      </c>
      <c r="L29" s="11" t="s">
        <v>86</v>
      </c>
    </row>
    <row r="30" spans="1:12" x14ac:dyDescent="0.2">
      <c r="A30" s="10">
        <v>2</v>
      </c>
      <c r="B30">
        <v>6.8</v>
      </c>
      <c r="C30" t="s">
        <v>87</v>
      </c>
      <c r="D30" t="s">
        <v>24</v>
      </c>
      <c r="E30" t="s">
        <v>25</v>
      </c>
      <c r="F30" t="s">
        <v>88</v>
      </c>
      <c r="G30">
        <v>250</v>
      </c>
      <c r="H30">
        <f t="shared" si="0"/>
        <v>500</v>
      </c>
      <c r="I30">
        <v>0.10299999999999999</v>
      </c>
      <c r="J30">
        <f t="shared" si="1"/>
        <v>51.5</v>
      </c>
      <c r="K30" t="s">
        <v>89</v>
      </c>
      <c r="L30" s="11" t="s">
        <v>90</v>
      </c>
    </row>
    <row r="31" spans="1:12" x14ac:dyDescent="0.2">
      <c r="A31" s="10">
        <v>1</v>
      </c>
      <c r="B31">
        <v>13</v>
      </c>
      <c r="C31" t="s">
        <v>91</v>
      </c>
      <c r="D31" t="s">
        <v>26</v>
      </c>
      <c r="E31" t="s">
        <v>27</v>
      </c>
      <c r="F31" t="s">
        <v>88</v>
      </c>
      <c r="G31">
        <v>250</v>
      </c>
      <c r="H31">
        <f t="shared" si="0"/>
        <v>250</v>
      </c>
      <c r="I31">
        <v>8.3000000000000004E-2</v>
      </c>
      <c r="J31">
        <f t="shared" si="1"/>
        <v>20.75</v>
      </c>
      <c r="K31" t="s">
        <v>92</v>
      </c>
      <c r="L31" s="11" t="s">
        <v>93</v>
      </c>
    </row>
    <row r="32" spans="1:12" x14ac:dyDescent="0.2">
      <c r="A32" s="10">
        <v>2</v>
      </c>
      <c r="B32">
        <v>47</v>
      </c>
      <c r="C32" t="s">
        <v>94</v>
      </c>
      <c r="D32" t="s">
        <v>28</v>
      </c>
      <c r="E32" t="s">
        <v>29</v>
      </c>
      <c r="F32" t="s">
        <v>88</v>
      </c>
      <c r="G32">
        <v>250</v>
      </c>
      <c r="H32">
        <f t="shared" si="0"/>
        <v>500</v>
      </c>
      <c r="I32">
        <v>0.09</v>
      </c>
      <c r="J32">
        <f t="shared" si="1"/>
        <v>45</v>
      </c>
      <c r="K32" t="s">
        <v>95</v>
      </c>
      <c r="L32" s="11" t="s">
        <v>96</v>
      </c>
    </row>
    <row r="33" spans="1:12" s="10" customFormat="1" x14ac:dyDescent="0.2">
      <c r="A33" s="10">
        <v>3</v>
      </c>
      <c r="B33" s="10" t="s">
        <v>30</v>
      </c>
      <c r="C33" s="10" t="s">
        <v>87</v>
      </c>
      <c r="D33" s="10" t="s">
        <v>24</v>
      </c>
      <c r="E33" s="10" t="s">
        <v>31</v>
      </c>
      <c r="F33" s="10" t="s">
        <v>88</v>
      </c>
      <c r="G33">
        <v>250</v>
      </c>
      <c r="H33">
        <f t="shared" si="0"/>
        <v>750</v>
      </c>
      <c r="J33">
        <f t="shared" si="1"/>
        <v>0</v>
      </c>
    </row>
    <row r="34" spans="1:12" x14ac:dyDescent="0.2">
      <c r="A34" s="10">
        <v>2</v>
      </c>
      <c r="B34" t="s">
        <v>32</v>
      </c>
      <c r="C34" t="s">
        <v>87</v>
      </c>
      <c r="D34" t="s">
        <v>24</v>
      </c>
      <c r="E34" t="s">
        <v>33</v>
      </c>
      <c r="F34" t="s">
        <v>88</v>
      </c>
      <c r="G34">
        <v>250</v>
      </c>
      <c r="H34">
        <f t="shared" si="0"/>
        <v>500</v>
      </c>
      <c r="I34">
        <v>0.10299999999999999</v>
      </c>
      <c r="J34">
        <f t="shared" si="1"/>
        <v>51.5</v>
      </c>
      <c r="K34" t="s">
        <v>97</v>
      </c>
      <c r="L34" t="s">
        <v>98</v>
      </c>
    </row>
    <row r="35" spans="1:12" x14ac:dyDescent="0.2">
      <c r="A35" s="10">
        <v>2</v>
      </c>
      <c r="B35" t="s">
        <v>34</v>
      </c>
      <c r="C35" t="s">
        <v>87</v>
      </c>
      <c r="D35" t="s">
        <v>24</v>
      </c>
      <c r="E35" t="s">
        <v>35</v>
      </c>
      <c r="F35" t="s">
        <v>88</v>
      </c>
      <c r="G35">
        <v>250</v>
      </c>
      <c r="H35">
        <f t="shared" si="0"/>
        <v>500</v>
      </c>
      <c r="I35">
        <v>0.10299999999999999</v>
      </c>
      <c r="J35">
        <f t="shared" si="1"/>
        <v>51.5</v>
      </c>
      <c r="K35" t="s">
        <v>99</v>
      </c>
      <c r="L35" s="11" t="s">
        <v>100</v>
      </c>
    </row>
    <row r="36" spans="1:12" s="10" customFormat="1" x14ac:dyDescent="0.2">
      <c r="A36" s="10">
        <v>12</v>
      </c>
      <c r="B36" s="10" t="s">
        <v>36</v>
      </c>
      <c r="C36" s="10" t="s">
        <v>87</v>
      </c>
      <c r="D36" s="10" t="s">
        <v>24</v>
      </c>
      <c r="E36" s="10" t="s">
        <v>37</v>
      </c>
      <c r="F36" s="10" t="s">
        <v>88</v>
      </c>
      <c r="G36">
        <v>250</v>
      </c>
      <c r="H36">
        <f t="shared" si="0"/>
        <v>3000</v>
      </c>
      <c r="J36">
        <f t="shared" si="1"/>
        <v>0</v>
      </c>
    </row>
    <row r="37" spans="1:12" s="10" customFormat="1" x14ac:dyDescent="0.2">
      <c r="A37" s="10">
        <v>6</v>
      </c>
      <c r="B37" s="10" t="s">
        <v>38</v>
      </c>
      <c r="C37" s="10" t="s">
        <v>87</v>
      </c>
      <c r="D37" s="10" t="s">
        <v>24</v>
      </c>
      <c r="E37" s="10" t="s">
        <v>39</v>
      </c>
      <c r="F37" s="10" t="s">
        <v>88</v>
      </c>
      <c r="G37">
        <v>250</v>
      </c>
      <c r="H37">
        <f t="shared" si="0"/>
        <v>1500</v>
      </c>
      <c r="J37">
        <f t="shared" si="1"/>
        <v>0</v>
      </c>
    </row>
    <row r="38" spans="1:12" s="10" customFormat="1" x14ac:dyDescent="0.2">
      <c r="A38" s="10">
        <v>7</v>
      </c>
      <c r="B38" s="10" t="s">
        <v>40</v>
      </c>
      <c r="C38" s="10" t="s">
        <v>87</v>
      </c>
      <c r="D38" s="10" t="s">
        <v>24</v>
      </c>
      <c r="E38" s="10" t="s">
        <v>41</v>
      </c>
      <c r="F38" s="10" t="s">
        <v>88</v>
      </c>
      <c r="G38">
        <v>250</v>
      </c>
      <c r="H38">
        <f t="shared" si="0"/>
        <v>1750</v>
      </c>
      <c r="J38">
        <f t="shared" si="1"/>
        <v>0</v>
      </c>
    </row>
    <row r="39" spans="1:12" x14ac:dyDescent="0.2">
      <c r="A39" s="10">
        <v>2</v>
      </c>
      <c r="B39" t="s">
        <v>42</v>
      </c>
      <c r="C39" t="s">
        <v>101</v>
      </c>
      <c r="D39" t="s">
        <v>43</v>
      </c>
      <c r="E39" t="s">
        <v>44</v>
      </c>
      <c r="F39" t="s">
        <v>102</v>
      </c>
      <c r="G39">
        <v>250</v>
      </c>
      <c r="H39">
        <f t="shared" si="0"/>
        <v>500</v>
      </c>
      <c r="I39">
        <v>0.26</v>
      </c>
      <c r="J39">
        <f t="shared" si="1"/>
        <v>130</v>
      </c>
      <c r="K39" t="s">
        <v>103</v>
      </c>
      <c r="L39" s="11" t="s">
        <v>104</v>
      </c>
    </row>
    <row r="40" spans="1:12" x14ac:dyDescent="0.2">
      <c r="A40" s="10">
        <v>2</v>
      </c>
      <c r="B40" t="s">
        <v>45</v>
      </c>
      <c r="C40" t="s">
        <v>101</v>
      </c>
      <c r="D40" t="s">
        <v>43</v>
      </c>
      <c r="E40" t="s">
        <v>46</v>
      </c>
      <c r="F40" t="s">
        <v>102</v>
      </c>
      <c r="G40">
        <v>250</v>
      </c>
      <c r="H40">
        <f t="shared" si="0"/>
        <v>500</v>
      </c>
      <c r="I40">
        <v>0.04</v>
      </c>
      <c r="J40">
        <f t="shared" si="1"/>
        <v>20</v>
      </c>
      <c r="K40" t="s">
        <v>105</v>
      </c>
      <c r="L40" s="11" t="s">
        <v>106</v>
      </c>
    </row>
    <row r="41" spans="1:12" x14ac:dyDescent="0.2">
      <c r="A41" s="10">
        <v>1</v>
      </c>
      <c r="B41" t="s">
        <v>47</v>
      </c>
      <c r="C41" t="s">
        <v>107</v>
      </c>
      <c r="D41" t="s">
        <v>48</v>
      </c>
      <c r="E41" t="s">
        <v>49</v>
      </c>
      <c r="F41" t="s">
        <v>102</v>
      </c>
      <c r="G41">
        <v>250</v>
      </c>
      <c r="H41">
        <f t="shared" si="0"/>
        <v>250</v>
      </c>
      <c r="I41">
        <v>0.05</v>
      </c>
      <c r="J41">
        <f t="shared" si="1"/>
        <v>12.5</v>
      </c>
      <c r="K41" t="s">
        <v>108</v>
      </c>
      <c r="L41" s="11" t="s">
        <v>109</v>
      </c>
    </row>
    <row r="42" spans="1:12" x14ac:dyDescent="0.2">
      <c r="A42" s="10">
        <v>1</v>
      </c>
      <c r="B42" t="s">
        <v>110</v>
      </c>
      <c r="C42" t="s">
        <v>110</v>
      </c>
      <c r="D42" t="s">
        <v>110</v>
      </c>
      <c r="E42" t="s">
        <v>111</v>
      </c>
      <c r="F42" t="s">
        <v>112</v>
      </c>
      <c r="G42">
        <v>0.1</v>
      </c>
      <c r="H42">
        <f t="shared" si="0"/>
        <v>0.1</v>
      </c>
      <c r="I42">
        <v>0.37</v>
      </c>
      <c r="J42">
        <f t="shared" si="1"/>
        <v>3.6999999999999998E-2</v>
      </c>
      <c r="K42" t="s">
        <v>113</v>
      </c>
      <c r="L42" s="11" t="s">
        <v>114</v>
      </c>
    </row>
    <row r="43" spans="1:12" x14ac:dyDescent="0.2">
      <c r="A43" s="10">
        <v>1</v>
      </c>
      <c r="B43"/>
      <c r="C43"/>
      <c r="D43" t="s">
        <v>115</v>
      </c>
      <c r="G43">
        <v>1</v>
      </c>
      <c r="H43">
        <f t="shared" si="0"/>
        <v>1</v>
      </c>
      <c r="I43">
        <v>2.2999999999999998</v>
      </c>
      <c r="J43">
        <f t="shared" si="1"/>
        <v>2.2999999999999998</v>
      </c>
      <c r="K43" t="s">
        <v>116</v>
      </c>
      <c r="L43" s="11" t="s">
        <v>117</v>
      </c>
    </row>
    <row r="44" spans="1:12" s="12" customFormat="1" ht="25.5" x14ac:dyDescent="0.2">
      <c r="A44" s="12">
        <v>2</v>
      </c>
      <c r="D44" s="13" t="s">
        <v>118</v>
      </c>
      <c r="F44" s="12" t="s">
        <v>125</v>
      </c>
      <c r="G44" s="12">
        <v>1</v>
      </c>
      <c r="H44" s="12">
        <f t="shared" si="0"/>
        <v>2</v>
      </c>
      <c r="I44" s="12">
        <v>1.08</v>
      </c>
      <c r="J44" s="12">
        <f t="shared" si="1"/>
        <v>2.16</v>
      </c>
      <c r="K44" s="12" t="s">
        <v>119</v>
      </c>
      <c r="L44" s="15" t="s">
        <v>124</v>
      </c>
    </row>
    <row r="45" spans="1:12" s="14" customFormat="1" x14ac:dyDescent="0.2">
      <c r="A45" s="14">
        <v>1</v>
      </c>
      <c r="C45" s="14" t="s">
        <v>120</v>
      </c>
      <c r="D45" s="14" t="s">
        <v>121</v>
      </c>
      <c r="E45" s="14" t="s">
        <v>122</v>
      </c>
      <c r="F45" s="14" t="s">
        <v>123</v>
      </c>
      <c r="G45" s="14">
        <v>1</v>
      </c>
      <c r="H45" s="14">
        <f t="shared" si="0"/>
        <v>1</v>
      </c>
      <c r="J45">
        <f t="shared" si="1"/>
        <v>0</v>
      </c>
    </row>
    <row r="46" spans="1:12" x14ac:dyDescent="0.2">
      <c r="A46" s="10">
        <v>2</v>
      </c>
      <c r="B46"/>
      <c r="C46" t="s">
        <v>59</v>
      </c>
      <c r="D46" t="s">
        <v>60</v>
      </c>
      <c r="E46" t="s">
        <v>61</v>
      </c>
      <c r="F46" t="s">
        <v>62</v>
      </c>
      <c r="G46">
        <v>250</v>
      </c>
      <c r="H46">
        <f>A46*G46</f>
        <v>500</v>
      </c>
      <c r="I46">
        <v>2.0499999999999998</v>
      </c>
      <c r="J46">
        <f>H46*I46</f>
        <v>1025</v>
      </c>
      <c r="K46" t="s">
        <v>63</v>
      </c>
      <c r="L46" s="11" t="s">
        <v>64</v>
      </c>
    </row>
  </sheetData>
  <hyperlinks>
    <hyperlink ref="L46" r:id="rId1"/>
    <hyperlink ref="L35" r:id="rId2"/>
    <hyperlink ref="L29" r:id="rId3"/>
    <hyperlink ref="L27" r:id="rId4"/>
    <hyperlink ref="L25" r:id="rId5"/>
    <hyperlink ref="L40" r:id="rId6"/>
    <hyperlink ref="L39" r:id="rId7"/>
    <hyperlink ref="L26" r:id="rId8"/>
    <hyperlink ref="L28" r:id="rId9"/>
    <hyperlink ref="L30" r:id="rId10"/>
    <hyperlink ref="L41" r:id="rId11"/>
    <hyperlink ref="L32" r:id="rId12"/>
    <hyperlink ref="L31" r:id="rId13"/>
    <hyperlink ref="L44" r:id="rId14"/>
    <hyperlink ref="L24" r:id="rId15"/>
  </hyperlinks>
  <pageMargins left="0.7" right="0.7" top="0.78740157499999996" bottom="0.78740157499999996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Bruker BioSpin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Gisler Philipp</dc:creator>
  <cp:lastModifiedBy>Philipp Gisler</cp:lastModifiedBy>
  <cp:lastPrinted>2015-09-10T15:56:17Z</cp:lastPrinted>
  <dcterms:created xsi:type="dcterms:W3CDTF">2015-09-10T15:45:52Z</dcterms:created>
  <dcterms:modified xsi:type="dcterms:W3CDTF">2016-06-27T06:44:22Z</dcterms:modified>
</cp:coreProperties>
</file>